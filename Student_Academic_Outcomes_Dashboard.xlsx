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ffffa4649d082/Desktop/Projects/StudentSuccessProject/"/>
    </mc:Choice>
  </mc:AlternateContent>
  <xr:revisionPtr revIDLastSave="230" documentId="8_{C10E3798-3897-4504-9F08-E78947C6BFC6}" xr6:coauthVersionLast="47" xr6:coauthVersionMax="47" xr10:uidLastSave="{BE05522D-7670-4B8B-A1A1-8245FA915E68}"/>
  <bookViews>
    <workbookView xWindow="-120" yWindow="-120" windowWidth="38640" windowHeight="21120" activeTab="2" xr2:uid="{FBF53988-409E-44A6-8EB4-85DA0CB8C133}"/>
  </bookViews>
  <sheets>
    <sheet name="StudentsPerformance" sheetId="1" r:id="rId1"/>
    <sheet name="Analysis" sheetId="2" r:id="rId2"/>
    <sheet name="Dashboard" sheetId="3" r:id="rId3"/>
    <sheet name="READM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13" i="1" a="1"/>
  <c r="L13" i="1" s="1"/>
  <c r="L15" i="1" a="1"/>
  <c r="L15" i="1" s="1"/>
  <c r="L16" i="1" a="1"/>
  <c r="L16" i="1" s="1"/>
  <c r="L18" i="1" a="1"/>
  <c r="L18" i="1" s="1"/>
  <c r="L31" i="1" a="1"/>
  <c r="L31" i="1" s="1"/>
  <c r="L32" i="1" a="1"/>
  <c r="L32" i="1" s="1"/>
  <c r="L33" i="1" a="1"/>
  <c r="L33" i="1" s="1"/>
  <c r="L53" i="1" a="1"/>
  <c r="L53" i="1" s="1"/>
  <c r="L66" i="1" a="1"/>
  <c r="L66" i="1" s="1"/>
  <c r="L77" i="1" a="1"/>
  <c r="L77" i="1" s="1"/>
  <c r="L85" i="1" a="1"/>
  <c r="L85" i="1" s="1"/>
  <c r="L101" i="1" a="1"/>
  <c r="L101" i="1" s="1"/>
  <c r="L104" i="1" a="1"/>
  <c r="L104" i="1" s="1"/>
  <c r="L105" i="1" a="1"/>
  <c r="L105" i="1" s="1"/>
  <c r="L113" i="1" a="1"/>
  <c r="L113" i="1" s="1"/>
  <c r="L138" i="1" a="1"/>
  <c r="L138" i="1" s="1"/>
  <c r="L149" i="1" a="1"/>
  <c r="L149" i="1" s="1"/>
  <c r="L158" i="1" a="1"/>
  <c r="L158" i="1" s="1"/>
  <c r="L173" i="1" a="1"/>
  <c r="L173" i="1" s="1"/>
  <c r="L176" i="1" a="1"/>
  <c r="L176" i="1" s="1"/>
  <c r="L224" i="1" a="1"/>
  <c r="L224" i="1" s="1"/>
  <c r="L225" i="1" a="1"/>
  <c r="L225" i="1" s="1"/>
  <c r="L230" i="1" a="1"/>
  <c r="L230" i="1" s="1"/>
  <c r="L231" i="1" a="1"/>
  <c r="L231" i="1" s="1"/>
  <c r="L233" i="1" a="1"/>
  <c r="L233" i="1" s="1"/>
  <c r="L237" i="1" a="1"/>
  <c r="L237" i="1" s="1"/>
  <c r="L251" i="1" a="1"/>
  <c r="L251" i="1" s="1"/>
  <c r="L269" i="1" a="1"/>
  <c r="L269" i="1" s="1"/>
  <c r="L270" i="1" a="1"/>
  <c r="L270" i="1" s="1"/>
  <c r="L272" i="1" a="1"/>
  <c r="L272" i="1" s="1"/>
  <c r="L273" i="1" a="1"/>
  <c r="L273" i="1" s="1"/>
  <c r="L301" i="1" a="1"/>
  <c r="L301" i="1" s="1"/>
  <c r="L327" i="1" a="1"/>
  <c r="L327" i="1" s="1"/>
  <c r="L329" i="1" a="1"/>
  <c r="L329" i="1" s="1"/>
  <c r="L340" i="1" a="1"/>
  <c r="L340" i="1" s="1"/>
  <c r="L346" i="1" a="1"/>
  <c r="L346" i="1" s="1"/>
  <c r="L352" i="1" a="1"/>
  <c r="L352" i="1" s="1"/>
  <c r="L365" i="1" a="1"/>
  <c r="L365" i="1" s="1"/>
  <c r="L368" i="1" a="1"/>
  <c r="L368" i="1" s="1"/>
  <c r="L369" i="1" a="1"/>
  <c r="L369" i="1" s="1"/>
  <c r="L388" i="1" a="1"/>
  <c r="L388" i="1" s="1"/>
  <c r="L416" i="1" a="1"/>
  <c r="L416" i="1" s="1"/>
  <c r="L417" i="1" a="1"/>
  <c r="L417" i="1" s="1"/>
  <c r="L436" i="1" a="1"/>
  <c r="L436" i="1" s="1"/>
  <c r="L445" i="1" a="1"/>
  <c r="L445" i="1" s="1"/>
  <c r="L446" i="1" a="1"/>
  <c r="L446" i="1" s="1"/>
  <c r="L449" i="1" a="1"/>
  <c r="L449" i="1" s="1"/>
  <c r="L466" i="1" a="1"/>
  <c r="L466" i="1" s="1"/>
  <c r="L488" i="1" a="1"/>
  <c r="L488" i="1" s="1"/>
  <c r="L560" i="1" a="1"/>
  <c r="L560" i="1" s="1"/>
  <c r="L566" i="1" a="1"/>
  <c r="L566" i="1" s="1"/>
  <c r="L568" i="1" a="1"/>
  <c r="L568" i="1" s="1"/>
  <c r="L569" i="1" a="1"/>
  <c r="L569" i="1" s="1"/>
  <c r="L570" i="1" a="1"/>
  <c r="L570" i="1" s="1"/>
  <c r="L589" i="1" a="1"/>
  <c r="L589" i="1" s="1"/>
  <c r="L593" i="1" a="1"/>
  <c r="L593" i="1" s="1"/>
  <c r="L608" i="1" a="1"/>
  <c r="L608" i="1" s="1"/>
  <c r="L628" i="1" a="1"/>
  <c r="L628" i="1" s="1"/>
  <c r="L632" i="1" a="1"/>
  <c r="L632" i="1" s="1"/>
  <c r="L641" i="1" a="1"/>
  <c r="L641" i="1" s="1"/>
  <c r="L662" i="1" a="1"/>
  <c r="L662" i="1" s="1"/>
  <c r="L689" i="1" a="1"/>
  <c r="L689" i="1" s="1"/>
  <c r="L690" i="1" a="1"/>
  <c r="L690" i="1" s="1"/>
  <c r="L703" i="1" a="1"/>
  <c r="L703" i="1" s="1"/>
  <c r="L704" i="1" a="1"/>
  <c r="L704" i="1" s="1"/>
  <c r="L713" i="1" a="1"/>
  <c r="L713" i="1" s="1"/>
  <c r="L714" i="1" a="1"/>
  <c r="L714" i="1" s="1"/>
  <c r="L733" i="1" a="1"/>
  <c r="L733" i="1" s="1"/>
  <c r="L776" i="1" a="1"/>
  <c r="L776" i="1" s="1"/>
  <c r="L785" i="1" a="1"/>
  <c r="L785" i="1" s="1"/>
  <c r="L786" i="1" a="1"/>
  <c r="L786" i="1" s="1"/>
  <c r="L796" i="1" a="1"/>
  <c r="L796" i="1" s="1"/>
  <c r="L833" i="1" a="1"/>
  <c r="L833" i="1" s="1"/>
  <c r="L848" i="1" a="1"/>
  <c r="L848" i="1" s="1"/>
  <c r="L856" i="1" a="1"/>
  <c r="L856" i="1" s="1"/>
  <c r="L858" i="1" a="1"/>
  <c r="L858" i="1" s="1"/>
  <c r="L881" i="1" a="1"/>
  <c r="L881" i="1" s="1"/>
  <c r="L896" i="1" a="1"/>
  <c r="L896" i="1" s="1"/>
  <c r="L898" i="1" a="1"/>
  <c r="L898" i="1" s="1"/>
  <c r="L918" i="1" a="1"/>
  <c r="L918" i="1" s="1"/>
  <c r="L920" i="1" a="1"/>
  <c r="L920" i="1" s="1"/>
  <c r="L930" i="1" a="1"/>
  <c r="L930" i="1" s="1"/>
  <c r="L963" i="1" a="1"/>
  <c r="L963" i="1" s="1"/>
  <c r="L992" i="1" a="1"/>
  <c r="L992" i="1" s="1"/>
  <c r="L998" i="1" a="1"/>
  <c r="L998" i="1" s="1"/>
  <c r="L1000" i="1" a="1"/>
  <c r="L1000" i="1" s="1"/>
  <c r="L1001" i="1" a="1"/>
  <c r="L1001" i="1" s="1"/>
  <c r="K13" i="1"/>
  <c r="K45" i="1"/>
  <c r="K49" i="1"/>
  <c r="K62" i="1"/>
  <c r="K73" i="1"/>
  <c r="K83" i="1"/>
  <c r="K107" i="1"/>
  <c r="K158" i="1"/>
  <c r="K217" i="1"/>
  <c r="K227" i="1"/>
  <c r="K251" i="1"/>
  <c r="K349" i="1"/>
  <c r="K350" i="1"/>
  <c r="K371" i="1"/>
  <c r="K381" i="1"/>
  <c r="K395" i="1"/>
  <c r="K446" i="1"/>
  <c r="K539" i="1"/>
  <c r="K563" i="1"/>
  <c r="K590" i="1"/>
  <c r="K625" i="1"/>
  <c r="K707" i="1"/>
  <c r="K731" i="1"/>
  <c r="K782" i="1"/>
  <c r="K816" i="1"/>
  <c r="K841" i="1"/>
  <c r="K875" i="1"/>
  <c r="J13" i="1"/>
  <c r="J14" i="1"/>
  <c r="J15" i="1"/>
  <c r="J16" i="1"/>
  <c r="J19" i="1"/>
  <c r="J134" i="1"/>
  <c r="J135" i="1"/>
  <c r="J136" i="1"/>
  <c r="J137" i="1"/>
  <c r="J207" i="1"/>
  <c r="J252" i="1"/>
  <c r="J253" i="1"/>
  <c r="J254" i="1"/>
  <c r="J255" i="1"/>
  <c r="J256" i="1"/>
  <c r="J349" i="1"/>
  <c r="J351" i="1"/>
  <c r="J374" i="1"/>
  <c r="J379" i="1"/>
  <c r="J473" i="1"/>
  <c r="J504" i="1"/>
  <c r="J543" i="1"/>
  <c r="J544" i="1"/>
  <c r="J594" i="1"/>
  <c r="J595" i="1"/>
  <c r="J669" i="1"/>
  <c r="J760" i="1"/>
  <c r="J783" i="1"/>
  <c r="J831" i="1"/>
  <c r="J879" i="1"/>
  <c r="J882" i="1"/>
  <c r="J950" i="1"/>
  <c r="J954" i="1"/>
  <c r="J998" i="1"/>
  <c r="I2" i="1"/>
  <c r="J2" i="1" s="1"/>
  <c r="I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I12" i="1"/>
  <c r="I13" i="1"/>
  <c r="I14" i="1"/>
  <c r="L14" i="1" s="1" a="1"/>
  <c r="L14" i="1" s="1"/>
  <c r="I15" i="1"/>
  <c r="K15" i="1" s="1"/>
  <c r="I16" i="1"/>
  <c r="K16" i="1" s="1"/>
  <c r="I17" i="1"/>
  <c r="K17" i="1" s="1"/>
  <c r="I18" i="1"/>
  <c r="K18" i="1" s="1"/>
  <c r="I19" i="1"/>
  <c r="L19" i="1" s="1" a="1"/>
  <c r="L19" i="1" s="1"/>
  <c r="I20" i="1"/>
  <c r="I21" i="1"/>
  <c r="J21" i="1" s="1"/>
  <c r="I22" i="1"/>
  <c r="I23" i="1"/>
  <c r="I24" i="1"/>
  <c r="I25" i="1"/>
  <c r="J25" i="1" s="1"/>
  <c r="I26" i="1"/>
  <c r="J26" i="1" s="1"/>
  <c r="I27" i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I36" i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I45" i="1"/>
  <c r="J45" i="1" s="1"/>
  <c r="I46" i="1"/>
  <c r="L46" i="1" s="1" a="1"/>
  <c r="L46" i="1" s="1"/>
  <c r="I47" i="1"/>
  <c r="I48" i="1"/>
  <c r="I49" i="1"/>
  <c r="J49" i="1" s="1"/>
  <c r="I50" i="1"/>
  <c r="J50" i="1" s="1"/>
  <c r="I51" i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K59" i="1" s="1"/>
  <c r="I60" i="1"/>
  <c r="I61" i="1"/>
  <c r="L61" i="1" s="1" a="1"/>
  <c r="L61" i="1" s="1"/>
  <c r="I62" i="1"/>
  <c r="L62" i="1" s="1" a="1"/>
  <c r="L62" i="1" s="1"/>
  <c r="I63" i="1"/>
  <c r="K63" i="1" s="1"/>
  <c r="I64" i="1"/>
  <c r="J64" i="1" s="1"/>
  <c r="I65" i="1"/>
  <c r="J65" i="1" s="1"/>
  <c r="I66" i="1"/>
  <c r="J66" i="1" s="1"/>
  <c r="I67" i="1"/>
  <c r="J67" i="1" s="1"/>
  <c r="I68" i="1"/>
  <c r="I69" i="1"/>
  <c r="J69" i="1" s="1"/>
  <c r="I70" i="1"/>
  <c r="I71" i="1"/>
  <c r="L71" i="1" s="1" a="1"/>
  <c r="L71" i="1" s="1"/>
  <c r="I72" i="1"/>
  <c r="I73" i="1"/>
  <c r="J73" i="1" s="1"/>
  <c r="I74" i="1"/>
  <c r="J74" i="1" s="1"/>
  <c r="I75" i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I84" i="1"/>
  <c r="I85" i="1"/>
  <c r="J85" i="1" s="1"/>
  <c r="I86" i="1"/>
  <c r="J86" i="1" s="1"/>
  <c r="I87" i="1"/>
  <c r="K87" i="1" s="1"/>
  <c r="I88" i="1"/>
  <c r="K88" i="1" s="1"/>
  <c r="I89" i="1"/>
  <c r="K89" i="1" s="1"/>
  <c r="I90" i="1"/>
  <c r="L90" i="1" s="1" a="1"/>
  <c r="L90" i="1" s="1"/>
  <c r="I91" i="1"/>
  <c r="L91" i="1" s="1" a="1"/>
  <c r="L91" i="1" s="1"/>
  <c r="I92" i="1"/>
  <c r="I93" i="1"/>
  <c r="L93" i="1" s="1" a="1"/>
  <c r="L93" i="1" s="1"/>
  <c r="I94" i="1"/>
  <c r="L94" i="1" s="1" a="1"/>
  <c r="L94" i="1" s="1"/>
  <c r="I95" i="1"/>
  <c r="I96" i="1"/>
  <c r="I97" i="1"/>
  <c r="L97" i="1" s="1" a="1"/>
  <c r="L97" i="1" s="1"/>
  <c r="I98" i="1"/>
  <c r="J98" i="1" s="1"/>
  <c r="I99" i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I117" i="1"/>
  <c r="J117" i="1" s="1"/>
  <c r="I118" i="1"/>
  <c r="I119" i="1"/>
  <c r="I120" i="1"/>
  <c r="I121" i="1"/>
  <c r="J121" i="1" s="1"/>
  <c r="I122" i="1"/>
  <c r="J122" i="1" s="1"/>
  <c r="I123" i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I132" i="1"/>
  <c r="I133" i="1"/>
  <c r="L133" i="1" s="1" a="1"/>
  <c r="L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J140" i="1" s="1"/>
  <c r="I141" i="1"/>
  <c r="J141" i="1" s="1"/>
  <c r="I142" i="1"/>
  <c r="I143" i="1"/>
  <c r="L143" i="1" s="1" a="1"/>
  <c r="L143" i="1" s="1"/>
  <c r="I144" i="1"/>
  <c r="I145" i="1"/>
  <c r="J145" i="1" s="1"/>
  <c r="I146" i="1"/>
  <c r="J146" i="1" s="1"/>
  <c r="I147" i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K155" i="1" s="1"/>
  <c r="I156" i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L162" i="1" s="1" a="1"/>
  <c r="L162" i="1" s="1"/>
  <c r="I163" i="1"/>
  <c r="K163" i="1" s="1"/>
  <c r="I164" i="1"/>
  <c r="I165" i="1"/>
  <c r="J165" i="1" s="1"/>
  <c r="I166" i="1"/>
  <c r="I167" i="1"/>
  <c r="I168" i="1"/>
  <c r="I169" i="1"/>
  <c r="J169" i="1" s="1"/>
  <c r="I170" i="1"/>
  <c r="J170" i="1" s="1"/>
  <c r="I171" i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I180" i="1"/>
  <c r="I181" i="1"/>
  <c r="L181" i="1" s="1" a="1"/>
  <c r="L181" i="1" s="1"/>
  <c r="I182" i="1"/>
  <c r="J182" i="1" s="1"/>
  <c r="I183" i="1"/>
  <c r="K183" i="1" s="1"/>
  <c r="I184" i="1"/>
  <c r="K184" i="1" s="1"/>
  <c r="I185" i="1"/>
  <c r="K185" i="1" s="1"/>
  <c r="I186" i="1"/>
  <c r="J186" i="1" s="1"/>
  <c r="I187" i="1"/>
  <c r="J187" i="1" s="1"/>
  <c r="I188" i="1"/>
  <c r="I189" i="1"/>
  <c r="J189" i="1" s="1"/>
  <c r="I190" i="1"/>
  <c r="K190" i="1" s="1"/>
  <c r="I191" i="1"/>
  <c r="I192" i="1"/>
  <c r="I193" i="1"/>
  <c r="J193" i="1" s="1"/>
  <c r="I194" i="1"/>
  <c r="J194" i="1" s="1"/>
  <c r="I195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K203" i="1" s="1"/>
  <c r="I204" i="1"/>
  <c r="I205" i="1"/>
  <c r="J205" i="1" s="1"/>
  <c r="I206" i="1"/>
  <c r="L206" i="1" s="1" a="1"/>
  <c r="L206" i="1" s="1"/>
  <c r="I207" i="1"/>
  <c r="K207" i="1" s="1"/>
  <c r="I208" i="1"/>
  <c r="J208" i="1" s="1"/>
  <c r="I209" i="1"/>
  <c r="J209" i="1" s="1"/>
  <c r="I210" i="1"/>
  <c r="J210" i="1" s="1"/>
  <c r="I211" i="1"/>
  <c r="K211" i="1" s="1"/>
  <c r="I212" i="1"/>
  <c r="L212" i="1" s="1" a="1"/>
  <c r="L212" i="1" s="1"/>
  <c r="I213" i="1"/>
  <c r="K213" i="1" s="1"/>
  <c r="I214" i="1"/>
  <c r="I215" i="1"/>
  <c r="I216" i="1"/>
  <c r="I217" i="1"/>
  <c r="L217" i="1" s="1" a="1"/>
  <c r="L217" i="1" s="1"/>
  <c r="I218" i="1"/>
  <c r="J218" i="1" s="1"/>
  <c r="I219" i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I228" i="1"/>
  <c r="J228" i="1" s="1"/>
  <c r="I229" i="1"/>
  <c r="K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I237" i="1"/>
  <c r="J237" i="1" s="1"/>
  <c r="I238" i="1"/>
  <c r="K238" i="1" s="1"/>
  <c r="I239" i="1"/>
  <c r="I240" i="1"/>
  <c r="I241" i="1"/>
  <c r="J241" i="1" s="1"/>
  <c r="I242" i="1"/>
  <c r="J242" i="1" s="1"/>
  <c r="I243" i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I253" i="1"/>
  <c r="L253" i="1" s="1" a="1"/>
  <c r="L253" i="1" s="1"/>
  <c r="I254" i="1"/>
  <c r="L254" i="1" s="1" a="1"/>
  <c r="L254" i="1" s="1"/>
  <c r="I255" i="1"/>
  <c r="K255" i="1" s="1"/>
  <c r="I256" i="1"/>
  <c r="K256" i="1" s="1"/>
  <c r="I257" i="1"/>
  <c r="K257" i="1" s="1"/>
  <c r="I258" i="1"/>
  <c r="K258" i="1" s="1"/>
  <c r="I259" i="1"/>
  <c r="J259" i="1" s="1"/>
  <c r="I260" i="1"/>
  <c r="I261" i="1"/>
  <c r="J261" i="1" s="1"/>
  <c r="I262" i="1"/>
  <c r="I263" i="1"/>
  <c r="I264" i="1"/>
  <c r="I265" i="1"/>
  <c r="J265" i="1" s="1"/>
  <c r="I266" i="1"/>
  <c r="J266" i="1" s="1"/>
  <c r="I267" i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I276" i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I285" i="1"/>
  <c r="J285" i="1" s="1"/>
  <c r="I286" i="1"/>
  <c r="I287" i="1"/>
  <c r="I288" i="1"/>
  <c r="I289" i="1"/>
  <c r="J289" i="1" s="1"/>
  <c r="I290" i="1"/>
  <c r="J290" i="1" s="1"/>
  <c r="I291" i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K299" i="1" s="1"/>
  <c r="I300" i="1"/>
  <c r="I301" i="1"/>
  <c r="J301" i="1" s="1"/>
  <c r="I302" i="1"/>
  <c r="L302" i="1" s="1" a="1"/>
  <c r="L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L308" i="1" s="1" a="1"/>
  <c r="L308" i="1" s="1"/>
  <c r="I309" i="1"/>
  <c r="J309" i="1" s="1"/>
  <c r="I310" i="1"/>
  <c r="I311" i="1"/>
  <c r="I312" i="1"/>
  <c r="I313" i="1"/>
  <c r="J313" i="1" s="1"/>
  <c r="I314" i="1"/>
  <c r="J314" i="1" s="1"/>
  <c r="I315" i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I324" i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I333" i="1"/>
  <c r="J333" i="1" s="1"/>
  <c r="I334" i="1"/>
  <c r="K334" i="1" s="1"/>
  <c r="I335" i="1"/>
  <c r="I336" i="1"/>
  <c r="I337" i="1"/>
  <c r="J337" i="1" s="1"/>
  <c r="I338" i="1"/>
  <c r="J338" i="1" s="1"/>
  <c r="I339" i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I349" i="1"/>
  <c r="L349" i="1" s="1" a="1"/>
  <c r="L349" i="1" s="1"/>
  <c r="I350" i="1"/>
  <c r="L350" i="1" s="1" a="1"/>
  <c r="L350" i="1" s="1"/>
  <c r="I351" i="1"/>
  <c r="K351" i="1" s="1"/>
  <c r="I352" i="1"/>
  <c r="J352" i="1" s="1"/>
  <c r="I353" i="1"/>
  <c r="J353" i="1" s="1"/>
  <c r="I354" i="1"/>
  <c r="J354" i="1" s="1"/>
  <c r="I355" i="1"/>
  <c r="J355" i="1" s="1"/>
  <c r="I356" i="1"/>
  <c r="I357" i="1"/>
  <c r="J357" i="1" s="1"/>
  <c r="I358" i="1"/>
  <c r="I359" i="1"/>
  <c r="I360" i="1"/>
  <c r="I361" i="1"/>
  <c r="J361" i="1" s="1"/>
  <c r="I362" i="1"/>
  <c r="J362" i="1" s="1"/>
  <c r="I363" i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I372" i="1"/>
  <c r="I373" i="1"/>
  <c r="L373" i="1" s="1" a="1"/>
  <c r="L373" i="1" s="1"/>
  <c r="I374" i="1"/>
  <c r="L374" i="1" s="1" a="1"/>
  <c r="L374" i="1" s="1"/>
  <c r="I375" i="1"/>
  <c r="K375" i="1" s="1"/>
  <c r="I376" i="1"/>
  <c r="K376" i="1" s="1"/>
  <c r="I377" i="1"/>
  <c r="K377" i="1" s="1"/>
  <c r="I378" i="1"/>
  <c r="K378" i="1" s="1"/>
  <c r="I379" i="1"/>
  <c r="L379" i="1" s="1" a="1"/>
  <c r="L379" i="1" s="1"/>
  <c r="I380" i="1"/>
  <c r="I381" i="1"/>
  <c r="J381" i="1" s="1"/>
  <c r="I382" i="1"/>
  <c r="K382" i="1" s="1"/>
  <c r="I383" i="1"/>
  <c r="I384" i="1"/>
  <c r="I385" i="1"/>
  <c r="J385" i="1" s="1"/>
  <c r="I386" i="1"/>
  <c r="J386" i="1" s="1"/>
  <c r="I387" i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I396" i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L404" i="1" s="1" a="1"/>
  <c r="L404" i="1" s="1"/>
  <c r="I405" i="1"/>
  <c r="J405" i="1" s="1"/>
  <c r="I406" i="1"/>
  <c r="I407" i="1"/>
  <c r="I408" i="1"/>
  <c r="I409" i="1"/>
  <c r="J409" i="1" s="1"/>
  <c r="I410" i="1"/>
  <c r="J410" i="1" s="1"/>
  <c r="I411" i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K419" i="1" s="1"/>
  <c r="I420" i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I429" i="1"/>
  <c r="K429" i="1" s="1"/>
  <c r="I430" i="1"/>
  <c r="I431" i="1"/>
  <c r="I432" i="1"/>
  <c r="I433" i="1"/>
  <c r="J433" i="1" s="1"/>
  <c r="I434" i="1"/>
  <c r="J434" i="1" s="1"/>
  <c r="I435" i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I444" i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L450" i="1" s="1" a="1"/>
  <c r="L450" i="1" s="1"/>
  <c r="I451" i="1"/>
  <c r="L451" i="1" s="1" a="1"/>
  <c r="L451" i="1" s="1"/>
  <c r="I452" i="1"/>
  <c r="I453" i="1"/>
  <c r="J453" i="1" s="1"/>
  <c r="I454" i="1"/>
  <c r="I455" i="1"/>
  <c r="I456" i="1"/>
  <c r="I457" i="1"/>
  <c r="J457" i="1" s="1"/>
  <c r="I458" i="1"/>
  <c r="J458" i="1" s="1"/>
  <c r="I459" i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K467" i="1" s="1"/>
  <c r="I468" i="1"/>
  <c r="J468" i="1" s="1"/>
  <c r="I469" i="1"/>
  <c r="K469" i="1" s="1"/>
  <c r="I470" i="1"/>
  <c r="L470" i="1" s="1" a="1"/>
  <c r="L470" i="1" s="1"/>
  <c r="I471" i="1"/>
  <c r="K471" i="1" s="1"/>
  <c r="I472" i="1"/>
  <c r="K472" i="1" s="1"/>
  <c r="I473" i="1"/>
  <c r="K473" i="1" s="1"/>
  <c r="I474" i="1"/>
  <c r="J474" i="1" s="1"/>
  <c r="I475" i="1"/>
  <c r="J475" i="1" s="1"/>
  <c r="I476" i="1"/>
  <c r="I477" i="1"/>
  <c r="J477" i="1" s="1"/>
  <c r="I478" i="1"/>
  <c r="K478" i="1" s="1"/>
  <c r="I479" i="1"/>
  <c r="I480" i="1"/>
  <c r="I481" i="1"/>
  <c r="J481" i="1" s="1"/>
  <c r="I482" i="1"/>
  <c r="J482" i="1" s="1"/>
  <c r="I483" i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I493" i="1"/>
  <c r="J493" i="1" s="1"/>
  <c r="I494" i="1"/>
  <c r="J494" i="1" s="1"/>
  <c r="I495" i="1"/>
  <c r="K495" i="1" s="1"/>
  <c r="I496" i="1"/>
  <c r="J496" i="1" s="1"/>
  <c r="I497" i="1"/>
  <c r="J497" i="1" s="1"/>
  <c r="I498" i="1"/>
  <c r="J498" i="1" s="1"/>
  <c r="I499" i="1"/>
  <c r="K499" i="1" s="1"/>
  <c r="I500" i="1"/>
  <c r="I501" i="1"/>
  <c r="K501" i="1" s="1"/>
  <c r="I502" i="1"/>
  <c r="I503" i="1"/>
  <c r="J503" i="1" s="1"/>
  <c r="I504" i="1"/>
  <c r="I505" i="1"/>
  <c r="J505" i="1" s="1"/>
  <c r="I506" i="1"/>
  <c r="J506" i="1" s="1"/>
  <c r="I507" i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I516" i="1"/>
  <c r="I517" i="1"/>
  <c r="L517" i="1" s="1" a="1"/>
  <c r="L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I525" i="1"/>
  <c r="J525" i="1" s="1"/>
  <c r="I526" i="1"/>
  <c r="J526" i="1" s="1"/>
  <c r="I527" i="1"/>
  <c r="I528" i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I540" i="1"/>
  <c r="I541" i="1"/>
  <c r="L541" i="1" s="1" a="1"/>
  <c r="L541" i="1" s="1"/>
  <c r="I542" i="1"/>
  <c r="L542" i="1" s="1" a="1"/>
  <c r="L542" i="1" s="1"/>
  <c r="I543" i="1"/>
  <c r="K543" i="1" s="1"/>
  <c r="I544" i="1"/>
  <c r="K544" i="1" s="1"/>
  <c r="I545" i="1"/>
  <c r="K545" i="1" s="1"/>
  <c r="I546" i="1"/>
  <c r="K546" i="1" s="1"/>
  <c r="I547" i="1"/>
  <c r="K547" i="1" s="1"/>
  <c r="I548" i="1"/>
  <c r="J548" i="1" s="1"/>
  <c r="I549" i="1"/>
  <c r="K549" i="1" s="1"/>
  <c r="I550" i="1"/>
  <c r="I551" i="1"/>
  <c r="I552" i="1"/>
  <c r="I553" i="1"/>
  <c r="J553" i="1" s="1"/>
  <c r="I554" i="1"/>
  <c r="J554" i="1" s="1"/>
  <c r="I555" i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I564" i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I573" i="1"/>
  <c r="J573" i="1" s="1"/>
  <c r="I574" i="1"/>
  <c r="I575" i="1"/>
  <c r="I576" i="1"/>
  <c r="I577" i="1"/>
  <c r="J577" i="1" s="1"/>
  <c r="I578" i="1"/>
  <c r="J578" i="1" s="1"/>
  <c r="I579" i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I588" i="1"/>
  <c r="I589" i="1"/>
  <c r="J589" i="1" s="1"/>
  <c r="I590" i="1"/>
  <c r="J590" i="1" s="1"/>
  <c r="I591" i="1"/>
  <c r="K591" i="1" s="1"/>
  <c r="I592" i="1"/>
  <c r="K592" i="1" s="1"/>
  <c r="I593" i="1"/>
  <c r="K593" i="1" s="1"/>
  <c r="I594" i="1"/>
  <c r="L594" i="1" s="1" a="1"/>
  <c r="L594" i="1" s="1"/>
  <c r="I595" i="1"/>
  <c r="L595" i="1" s="1" a="1"/>
  <c r="L595" i="1" s="1"/>
  <c r="I596" i="1"/>
  <c r="I597" i="1"/>
  <c r="J597" i="1" s="1"/>
  <c r="I598" i="1"/>
  <c r="I599" i="1"/>
  <c r="I600" i="1"/>
  <c r="I601" i="1"/>
  <c r="J601" i="1" s="1"/>
  <c r="I602" i="1"/>
  <c r="J602" i="1" s="1"/>
  <c r="I603" i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I612" i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I621" i="1"/>
  <c r="J621" i="1" s="1"/>
  <c r="I622" i="1"/>
  <c r="K622" i="1" s="1"/>
  <c r="I623" i="1"/>
  <c r="I624" i="1"/>
  <c r="I625" i="1"/>
  <c r="J625" i="1" s="1"/>
  <c r="I626" i="1"/>
  <c r="J626" i="1" s="1"/>
  <c r="I627" i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I637" i="1"/>
  <c r="L637" i="1" s="1" a="1"/>
  <c r="L637" i="1" s="1"/>
  <c r="I638" i="1"/>
  <c r="L638" i="1" s="1" a="1"/>
  <c r="L638" i="1" s="1"/>
  <c r="I639" i="1"/>
  <c r="K639" i="1" s="1"/>
  <c r="I640" i="1"/>
  <c r="J640" i="1" s="1"/>
  <c r="I641" i="1"/>
  <c r="J641" i="1" s="1"/>
  <c r="I642" i="1"/>
  <c r="J642" i="1" s="1"/>
  <c r="I643" i="1"/>
  <c r="J643" i="1" s="1"/>
  <c r="I644" i="1"/>
  <c r="I645" i="1"/>
  <c r="J645" i="1" s="1"/>
  <c r="I646" i="1"/>
  <c r="I647" i="1"/>
  <c r="I648" i="1"/>
  <c r="I649" i="1"/>
  <c r="J649" i="1" s="1"/>
  <c r="I650" i="1"/>
  <c r="J650" i="1" s="1"/>
  <c r="I651" i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I660" i="1"/>
  <c r="I661" i="1"/>
  <c r="L661" i="1" s="1" a="1"/>
  <c r="L661" i="1" s="1"/>
  <c r="I662" i="1"/>
  <c r="K662" i="1" s="1"/>
  <c r="I663" i="1"/>
  <c r="K663" i="1" s="1"/>
  <c r="I664" i="1"/>
  <c r="K664" i="1" s="1"/>
  <c r="I665" i="1"/>
  <c r="K665" i="1" s="1"/>
  <c r="I666" i="1"/>
  <c r="L666" i="1" s="1" a="1"/>
  <c r="L666" i="1" s="1"/>
  <c r="I667" i="1"/>
  <c r="L667" i="1" s="1" a="1"/>
  <c r="L667" i="1" s="1"/>
  <c r="I668" i="1"/>
  <c r="J668" i="1" s="1"/>
  <c r="I669" i="1"/>
  <c r="L669" i="1" s="1" a="1"/>
  <c r="L669" i="1" s="1"/>
  <c r="I670" i="1"/>
  <c r="J670" i="1" s="1"/>
  <c r="I671" i="1"/>
  <c r="I672" i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K683" i="1" s="1"/>
  <c r="I684" i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I693" i="1"/>
  <c r="J693" i="1" s="1"/>
  <c r="I694" i="1"/>
  <c r="L694" i="1" s="1" a="1"/>
  <c r="L694" i="1" s="1"/>
  <c r="I695" i="1"/>
  <c r="I696" i="1"/>
  <c r="L696" i="1" s="1" a="1"/>
  <c r="L696" i="1" s="1"/>
  <c r="I697" i="1"/>
  <c r="J697" i="1" s="1"/>
  <c r="I698" i="1"/>
  <c r="J698" i="1" s="1"/>
  <c r="I699" i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I708" i="1"/>
  <c r="I709" i="1"/>
  <c r="J709" i="1" s="1"/>
  <c r="I710" i="1"/>
  <c r="J710" i="1" s="1"/>
  <c r="I711" i="1"/>
  <c r="K711" i="1" s="1"/>
  <c r="I712" i="1"/>
  <c r="K712" i="1" s="1"/>
  <c r="I713" i="1"/>
  <c r="K713" i="1" s="1"/>
  <c r="I714" i="1"/>
  <c r="J714" i="1" s="1"/>
  <c r="I715" i="1"/>
  <c r="K715" i="1" s="1"/>
  <c r="I716" i="1"/>
  <c r="J716" i="1" s="1"/>
  <c r="I717" i="1"/>
  <c r="J717" i="1" s="1"/>
  <c r="I718" i="1"/>
  <c r="K718" i="1" s="1"/>
  <c r="I719" i="1"/>
  <c r="I720" i="1"/>
  <c r="I721" i="1"/>
  <c r="J721" i="1" s="1"/>
  <c r="I722" i="1"/>
  <c r="J722" i="1" s="1"/>
  <c r="I723" i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I732" i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L739" i="1" s="1" a="1"/>
  <c r="L739" i="1" s="1"/>
  <c r="I740" i="1"/>
  <c r="I741" i="1"/>
  <c r="J741" i="1" s="1"/>
  <c r="I742" i="1"/>
  <c r="I743" i="1"/>
  <c r="I744" i="1"/>
  <c r="I745" i="1"/>
  <c r="J745" i="1" s="1"/>
  <c r="I746" i="1"/>
  <c r="J746" i="1" s="1"/>
  <c r="I747" i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I756" i="1"/>
  <c r="I757" i="1"/>
  <c r="K757" i="1" s="1"/>
  <c r="I758" i="1"/>
  <c r="L758" i="1" s="1" a="1"/>
  <c r="L758" i="1" s="1"/>
  <c r="I759" i="1"/>
  <c r="K759" i="1" s="1"/>
  <c r="I760" i="1"/>
  <c r="K760" i="1" s="1"/>
  <c r="I761" i="1"/>
  <c r="K761" i="1" s="1"/>
  <c r="I762" i="1"/>
  <c r="J762" i="1" s="1"/>
  <c r="I763" i="1"/>
  <c r="J763" i="1" s="1"/>
  <c r="I764" i="1"/>
  <c r="I765" i="1"/>
  <c r="J765" i="1" s="1"/>
  <c r="I766" i="1"/>
  <c r="I767" i="1"/>
  <c r="I768" i="1"/>
  <c r="I769" i="1"/>
  <c r="J769" i="1" s="1"/>
  <c r="I770" i="1"/>
  <c r="J770" i="1" s="1"/>
  <c r="I771" i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I781" i="1"/>
  <c r="L781" i="1" s="1" a="1"/>
  <c r="L781" i="1" s="1"/>
  <c r="I782" i="1"/>
  <c r="L782" i="1" s="1" a="1"/>
  <c r="L782" i="1" s="1"/>
  <c r="I783" i="1"/>
  <c r="K783" i="1" s="1"/>
  <c r="I784" i="1"/>
  <c r="J784" i="1" s="1"/>
  <c r="I785" i="1"/>
  <c r="J785" i="1" s="1"/>
  <c r="I786" i="1"/>
  <c r="J786" i="1" s="1"/>
  <c r="I787" i="1"/>
  <c r="K787" i="1" s="1"/>
  <c r="I788" i="1"/>
  <c r="I789" i="1"/>
  <c r="K789" i="1" s="1"/>
  <c r="I790" i="1"/>
  <c r="J790" i="1" s="1"/>
  <c r="I791" i="1"/>
  <c r="I792" i="1"/>
  <c r="I793" i="1"/>
  <c r="J793" i="1" s="1"/>
  <c r="I794" i="1"/>
  <c r="J794" i="1" s="1"/>
  <c r="I795" i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I804" i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I813" i="1"/>
  <c r="J813" i="1" s="1"/>
  <c r="I814" i="1"/>
  <c r="J814" i="1" s="1"/>
  <c r="I815" i="1"/>
  <c r="I816" i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K827" i="1" s="1"/>
  <c r="I828" i="1"/>
  <c r="I829" i="1"/>
  <c r="J829" i="1" s="1"/>
  <c r="I830" i="1"/>
  <c r="L830" i="1" s="1" a="1"/>
  <c r="L830" i="1" s="1"/>
  <c r="I831" i="1"/>
  <c r="K831" i="1" s="1"/>
  <c r="I832" i="1"/>
  <c r="K832" i="1" s="1"/>
  <c r="I833" i="1"/>
  <c r="K833" i="1" s="1"/>
  <c r="I834" i="1"/>
  <c r="K834" i="1" s="1"/>
  <c r="I835" i="1"/>
  <c r="K835" i="1" s="1"/>
  <c r="I836" i="1"/>
  <c r="I837" i="1"/>
  <c r="K837" i="1" s="1"/>
  <c r="I838" i="1"/>
  <c r="L838" i="1" s="1" a="1"/>
  <c r="L838" i="1" s="1"/>
  <c r="I839" i="1"/>
  <c r="I840" i="1"/>
  <c r="L840" i="1" s="1" a="1"/>
  <c r="L840" i="1" s="1"/>
  <c r="I841" i="1"/>
  <c r="J841" i="1" s="1"/>
  <c r="I842" i="1"/>
  <c r="J842" i="1" s="1"/>
  <c r="I843" i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K851" i="1" s="1"/>
  <c r="I852" i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I861" i="1"/>
  <c r="K861" i="1" s="1"/>
  <c r="I862" i="1"/>
  <c r="K862" i="1" s="1"/>
  <c r="I863" i="1"/>
  <c r="I864" i="1"/>
  <c r="K864" i="1" s="1"/>
  <c r="I865" i="1"/>
  <c r="J865" i="1" s="1"/>
  <c r="I866" i="1"/>
  <c r="J866" i="1" s="1"/>
  <c r="I867" i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I876" i="1"/>
  <c r="I877" i="1"/>
  <c r="K877" i="1" s="1"/>
  <c r="I878" i="1"/>
  <c r="K878" i="1" s="1"/>
  <c r="I879" i="1"/>
  <c r="K879" i="1" s="1"/>
  <c r="I880" i="1"/>
  <c r="K880" i="1" s="1"/>
  <c r="I881" i="1"/>
  <c r="K881" i="1" s="1"/>
  <c r="I882" i="1"/>
  <c r="L882" i="1" s="1" a="1"/>
  <c r="L882" i="1" s="1"/>
  <c r="I883" i="1"/>
  <c r="J883" i="1" s="1"/>
  <c r="I884" i="1"/>
  <c r="I885" i="1"/>
  <c r="J885" i="1" s="1"/>
  <c r="I886" i="1"/>
  <c r="I887" i="1"/>
  <c r="I888" i="1"/>
  <c r="I889" i="1"/>
  <c r="J889" i="1" s="1"/>
  <c r="I890" i="1"/>
  <c r="J890" i="1" s="1"/>
  <c r="I891" i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I900" i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I909" i="1"/>
  <c r="J909" i="1" s="1"/>
  <c r="I910" i="1"/>
  <c r="J910" i="1" s="1"/>
  <c r="I911" i="1"/>
  <c r="I912" i="1"/>
  <c r="K912" i="1" s="1"/>
  <c r="I913" i="1"/>
  <c r="J913" i="1" s="1"/>
  <c r="I914" i="1"/>
  <c r="J914" i="1" s="1"/>
  <c r="I915" i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I925" i="1"/>
  <c r="L925" i="1" s="1" a="1"/>
  <c r="L925" i="1" s="1"/>
  <c r="I926" i="1"/>
  <c r="J926" i="1" s="1"/>
  <c r="I927" i="1"/>
  <c r="K927" i="1" s="1"/>
  <c r="I928" i="1"/>
  <c r="J928" i="1" s="1"/>
  <c r="I929" i="1"/>
  <c r="J929" i="1" s="1"/>
  <c r="I930" i="1"/>
  <c r="J930" i="1" s="1"/>
  <c r="I931" i="1"/>
  <c r="J931" i="1" s="1"/>
  <c r="I932" i="1"/>
  <c r="I933" i="1"/>
  <c r="J933" i="1" s="1"/>
  <c r="I934" i="1"/>
  <c r="I935" i="1"/>
  <c r="I936" i="1"/>
  <c r="I937" i="1"/>
  <c r="J937" i="1" s="1"/>
  <c r="I938" i="1"/>
  <c r="J938" i="1" s="1"/>
  <c r="I939" i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K947" i="1" s="1"/>
  <c r="I948" i="1"/>
  <c r="I949" i="1"/>
  <c r="L949" i="1" s="1" a="1"/>
  <c r="L949" i="1" s="1"/>
  <c r="I950" i="1"/>
  <c r="K950" i="1" s="1"/>
  <c r="I951" i="1"/>
  <c r="K951" i="1" s="1"/>
  <c r="I952" i="1"/>
  <c r="K952" i="1" s="1"/>
  <c r="I953" i="1"/>
  <c r="K953" i="1" s="1"/>
  <c r="I954" i="1"/>
  <c r="L954" i="1" s="1" a="1"/>
  <c r="L954" i="1" s="1"/>
  <c r="I955" i="1"/>
  <c r="J955" i="1" s="1"/>
  <c r="I956" i="1"/>
  <c r="I957" i="1"/>
  <c r="J957" i="1" s="1"/>
  <c r="I958" i="1"/>
  <c r="J958" i="1" s="1"/>
  <c r="I959" i="1"/>
  <c r="I960" i="1"/>
  <c r="K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I972" i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I981" i="1"/>
  <c r="J981" i="1" s="1"/>
  <c r="I982" i="1"/>
  <c r="L982" i="1" s="1" a="1"/>
  <c r="L982" i="1" s="1"/>
  <c r="I983" i="1"/>
  <c r="I984" i="1"/>
  <c r="I985" i="1"/>
  <c r="J985" i="1" s="1"/>
  <c r="I986" i="1"/>
  <c r="J986" i="1" s="1"/>
  <c r="I987" i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I996" i="1"/>
  <c r="I997" i="1"/>
  <c r="K997" i="1" s="1"/>
  <c r="I998" i="1"/>
  <c r="K998" i="1" s="1"/>
  <c r="I999" i="1"/>
  <c r="K999" i="1" s="1"/>
  <c r="I1000" i="1"/>
  <c r="K1000" i="1" s="1"/>
  <c r="I1001" i="1"/>
  <c r="K1001" i="1" s="1"/>
  <c r="K361" i="1" l="1"/>
  <c r="L673" i="1" a="1"/>
  <c r="L673" i="1" s="1"/>
  <c r="L7" i="1" a="1"/>
  <c r="L7" i="1" s="1"/>
  <c r="J229" i="1"/>
  <c r="K974" i="1"/>
  <c r="K769" i="1"/>
  <c r="K542" i="1"/>
  <c r="K337" i="1"/>
  <c r="K157" i="1"/>
  <c r="L991" i="1" a="1"/>
  <c r="L991" i="1" s="1"/>
  <c r="L878" i="1" a="1"/>
  <c r="L878" i="1" s="1"/>
  <c r="L772" i="1" a="1"/>
  <c r="L772" i="1" s="1"/>
  <c r="L655" i="1" a="1"/>
  <c r="L655" i="1" s="1"/>
  <c r="L559" i="1" a="1"/>
  <c r="L559" i="1" s="1"/>
  <c r="L429" i="1" a="1"/>
  <c r="L429" i="1" s="1"/>
  <c r="L326" i="1" a="1"/>
  <c r="L326" i="1" s="1"/>
  <c r="L102" i="1" a="1"/>
  <c r="L102" i="1" s="1"/>
  <c r="J547" i="1"/>
  <c r="K985" i="1"/>
  <c r="L103" i="1" a="1"/>
  <c r="L103" i="1" s="1"/>
  <c r="L321" i="1" a="1"/>
  <c r="L321" i="1" s="1"/>
  <c r="J877" i="1"/>
  <c r="K745" i="1"/>
  <c r="K529" i="1"/>
  <c r="K333" i="1"/>
  <c r="K141" i="1"/>
  <c r="L978" i="1" a="1"/>
  <c r="L978" i="1" s="1"/>
  <c r="L868" i="1" a="1"/>
  <c r="L868" i="1" s="1"/>
  <c r="L754" i="1" a="1"/>
  <c r="L754" i="1" s="1"/>
  <c r="L649" i="1" a="1"/>
  <c r="L649" i="1" s="1"/>
  <c r="L545" i="1" a="1"/>
  <c r="L545" i="1" s="1"/>
  <c r="L423" i="1" a="1"/>
  <c r="L423" i="1" s="1"/>
  <c r="L320" i="1" a="1"/>
  <c r="L320" i="1" s="1"/>
  <c r="L205" i="1" a="1"/>
  <c r="L205" i="1" s="1"/>
  <c r="L89" i="1" a="1"/>
  <c r="L89" i="1" s="1"/>
  <c r="K573" i="1"/>
  <c r="L775" i="1" a="1"/>
  <c r="L775" i="1" s="1"/>
  <c r="K553" i="1"/>
  <c r="J878" i="1"/>
  <c r="J217" i="1"/>
  <c r="K961" i="1"/>
  <c r="K765" i="1"/>
  <c r="K145" i="1"/>
  <c r="L877" i="1" a="1"/>
  <c r="L877" i="1" s="1"/>
  <c r="L765" i="1" a="1"/>
  <c r="L765" i="1" s="1"/>
  <c r="L652" i="1" a="1"/>
  <c r="L652" i="1" s="1"/>
  <c r="L546" i="1" a="1"/>
  <c r="L546" i="1" s="1"/>
  <c r="L425" i="1" a="1"/>
  <c r="L425" i="1" s="1"/>
  <c r="J861" i="1"/>
  <c r="J206" i="1"/>
  <c r="K958" i="1"/>
  <c r="K734" i="1"/>
  <c r="K526" i="1"/>
  <c r="K313" i="1"/>
  <c r="K121" i="1"/>
  <c r="L977" i="1" a="1"/>
  <c r="L977" i="1" s="1"/>
  <c r="L861" i="1" a="1"/>
  <c r="L861" i="1" s="1"/>
  <c r="L752" i="1" a="1"/>
  <c r="L752" i="1" s="1"/>
  <c r="L642" i="1" a="1"/>
  <c r="L642" i="1" s="1"/>
  <c r="L529" i="1" a="1"/>
  <c r="L529" i="1" s="1"/>
  <c r="L422" i="1" a="1"/>
  <c r="L422" i="1" s="1"/>
  <c r="L196" i="1" a="1"/>
  <c r="L196" i="1" s="1"/>
  <c r="L86" i="1" a="1"/>
  <c r="L86" i="1" s="1"/>
  <c r="J163" i="1"/>
  <c r="K302" i="1"/>
  <c r="L751" i="1" a="1"/>
  <c r="L751" i="1" s="1"/>
  <c r="L193" i="1" a="1"/>
  <c r="L193" i="1" s="1"/>
  <c r="L457" i="1" a="1"/>
  <c r="L457" i="1" s="1"/>
  <c r="J549" i="1"/>
  <c r="L333" i="1" a="1"/>
  <c r="L333" i="1" s="1"/>
  <c r="L670" i="1" a="1"/>
  <c r="L670" i="1" s="1"/>
  <c r="K957" i="1"/>
  <c r="K525" i="1"/>
  <c r="K110" i="1"/>
  <c r="L526" i="1" a="1"/>
  <c r="L526" i="1" s="1"/>
  <c r="K937" i="1"/>
  <c r="L518" i="1" a="1"/>
  <c r="L518" i="1" s="1"/>
  <c r="L292" i="1" a="1"/>
  <c r="L292" i="1" s="1"/>
  <c r="L78" i="1" a="1"/>
  <c r="L78" i="1" s="1"/>
  <c r="K189" i="1"/>
  <c r="L774" i="1" a="1"/>
  <c r="L774" i="1" s="1"/>
  <c r="L122" i="1" a="1"/>
  <c r="L122" i="1" s="1"/>
  <c r="L889" i="1" a="1"/>
  <c r="L889" i="1" s="1"/>
  <c r="J830" i="1"/>
  <c r="J470" i="1"/>
  <c r="K721" i="1"/>
  <c r="K505" i="1"/>
  <c r="K301" i="1"/>
  <c r="K109" i="1"/>
  <c r="L961" i="1" a="1"/>
  <c r="L961" i="1" s="1"/>
  <c r="L857" i="1" a="1"/>
  <c r="L857" i="1" s="1"/>
  <c r="L745" i="1" a="1"/>
  <c r="L745" i="1" s="1"/>
  <c r="L177" i="1" a="1"/>
  <c r="L177" i="1" s="1"/>
  <c r="J469" i="1"/>
  <c r="J139" i="1"/>
  <c r="K926" i="1"/>
  <c r="K494" i="1"/>
  <c r="K289" i="1"/>
  <c r="L958" i="1" a="1"/>
  <c r="L958" i="1" s="1"/>
  <c r="L737" i="1" a="1"/>
  <c r="L737" i="1" s="1"/>
  <c r="L631" i="1" a="1"/>
  <c r="L631" i="1" s="1"/>
  <c r="L511" i="1" a="1"/>
  <c r="L511" i="1" s="1"/>
  <c r="L289" i="1" a="1"/>
  <c r="L289" i="1" s="1"/>
  <c r="J787" i="1"/>
  <c r="J450" i="1"/>
  <c r="J138" i="1"/>
  <c r="K913" i="1"/>
  <c r="K717" i="1"/>
  <c r="K481" i="1"/>
  <c r="K285" i="1"/>
  <c r="K97" i="1"/>
  <c r="L950" i="1" a="1"/>
  <c r="L950" i="1" s="1"/>
  <c r="L854" i="1" a="1"/>
  <c r="L854" i="1" s="1"/>
  <c r="L734" i="1" a="1"/>
  <c r="L734" i="1" s="1"/>
  <c r="L630" i="1" a="1"/>
  <c r="L630" i="1" s="1"/>
  <c r="L508" i="1" a="1"/>
  <c r="L508" i="1" s="1"/>
  <c r="L397" i="1" a="1"/>
  <c r="L397" i="1" s="1"/>
  <c r="L282" i="1" a="1"/>
  <c r="L282" i="1" s="1"/>
  <c r="L175" i="1" a="1"/>
  <c r="L175" i="1" s="1"/>
  <c r="K577" i="1"/>
  <c r="K813" i="1"/>
  <c r="K193" i="1"/>
  <c r="K814" i="1"/>
  <c r="L895" i="1" a="1"/>
  <c r="L895" i="1" s="1"/>
  <c r="K793" i="1"/>
  <c r="K169" i="1"/>
  <c r="J429" i="1"/>
  <c r="K909" i="1"/>
  <c r="K265" i="1"/>
  <c r="K94" i="1"/>
  <c r="L943" i="1" a="1"/>
  <c r="L943" i="1" s="1"/>
  <c r="L505" i="1" a="1"/>
  <c r="L505" i="1" s="1"/>
  <c r="L174" i="1" a="1"/>
  <c r="L174" i="1" s="1"/>
  <c r="L69" i="1" a="1"/>
  <c r="L69" i="1" s="1"/>
  <c r="J782" i="1"/>
  <c r="J422" i="1"/>
  <c r="K889" i="1"/>
  <c r="K697" i="1"/>
  <c r="K477" i="1"/>
  <c r="K254" i="1"/>
  <c r="K93" i="1"/>
  <c r="L940" i="1" a="1"/>
  <c r="L940" i="1" s="1"/>
  <c r="L847" i="1" a="1"/>
  <c r="L847" i="1" s="1"/>
  <c r="L724" i="1" a="1"/>
  <c r="L724" i="1" s="1"/>
  <c r="L621" i="1" a="1"/>
  <c r="L621" i="1" s="1"/>
  <c r="L498" i="1" a="1"/>
  <c r="L498" i="1" s="1"/>
  <c r="L385" i="1" a="1"/>
  <c r="L385" i="1" s="1"/>
  <c r="J761" i="1"/>
  <c r="J421" i="1"/>
  <c r="K686" i="1"/>
  <c r="K457" i="1"/>
  <c r="K253" i="1"/>
  <c r="L938" i="1" a="1"/>
  <c r="L938" i="1" s="1"/>
  <c r="L834" i="1" a="1"/>
  <c r="L834" i="1" s="1"/>
  <c r="L717" i="1" a="1"/>
  <c r="L717" i="1" s="1"/>
  <c r="L610" i="1" a="1"/>
  <c r="L610" i="1" s="1"/>
  <c r="L497" i="1" a="1"/>
  <c r="L497" i="1" s="1"/>
  <c r="L378" i="1" a="1"/>
  <c r="L378" i="1" s="1"/>
  <c r="L271" i="1" a="1"/>
  <c r="L271" i="1" s="1"/>
  <c r="L161" i="1" a="1"/>
  <c r="L161" i="1" s="1"/>
  <c r="L65" i="1" a="1"/>
  <c r="L65" i="1" s="1"/>
  <c r="L50" i="1" a="1"/>
  <c r="L50" i="1" s="1"/>
  <c r="L157" i="1" a="1"/>
  <c r="L157" i="1" s="1"/>
  <c r="J715" i="1"/>
  <c r="J373" i="1"/>
  <c r="J93" i="1"/>
  <c r="K669" i="1"/>
  <c r="K61" i="1"/>
  <c r="L929" i="1" a="1"/>
  <c r="L929" i="1" s="1"/>
  <c r="L813" i="1" a="1"/>
  <c r="L813" i="1" s="1"/>
  <c r="L712" i="1" a="1"/>
  <c r="L712" i="1" s="1"/>
  <c r="L601" i="1" a="1"/>
  <c r="L601" i="1" s="1"/>
  <c r="L486" i="1" a="1"/>
  <c r="L486" i="1" s="1"/>
  <c r="L367" i="1" a="1"/>
  <c r="L367" i="1" s="1"/>
  <c r="L256" i="1" a="1"/>
  <c r="L256" i="1" s="1"/>
  <c r="L150" i="1" a="1"/>
  <c r="L150" i="1" s="1"/>
  <c r="L41" i="1" a="1"/>
  <c r="L41" i="1" s="1"/>
  <c r="K673" i="1"/>
  <c r="L937" i="1" a="1"/>
  <c r="L937" i="1" s="1"/>
  <c r="J94" i="1"/>
  <c r="K865" i="1"/>
  <c r="K670" i="1"/>
  <c r="K433" i="1"/>
  <c r="K241" i="1"/>
  <c r="L817" i="1" a="1"/>
  <c r="L817" i="1" s="1"/>
  <c r="L607" i="1" a="1"/>
  <c r="L607" i="1" s="1"/>
  <c r="L487" i="1" a="1"/>
  <c r="L487" i="1" s="1"/>
  <c r="J62" i="1"/>
  <c r="K649" i="1"/>
  <c r="K409" i="1"/>
  <c r="K237" i="1"/>
  <c r="L806" i="1" a="1"/>
  <c r="L806" i="1" s="1"/>
  <c r="L710" i="1" a="1"/>
  <c r="L710" i="1" s="1"/>
  <c r="L484" i="1" a="1"/>
  <c r="L484" i="1" s="1"/>
  <c r="L366" i="1" a="1"/>
  <c r="L366" i="1" s="1"/>
  <c r="J350" i="1"/>
  <c r="J61" i="1"/>
  <c r="K638" i="1"/>
  <c r="K398" i="1"/>
  <c r="K46" i="1"/>
  <c r="L919" i="1" a="1"/>
  <c r="L919" i="1" s="1"/>
  <c r="L799" i="1" a="1"/>
  <c r="L799" i="1" s="1"/>
  <c r="L590" i="1" a="1"/>
  <c r="L590" i="1" s="1"/>
  <c r="L477" i="1" a="1"/>
  <c r="L477" i="1" s="1"/>
  <c r="L141" i="1" a="1"/>
  <c r="L141" i="1" s="1"/>
  <c r="J1000" i="1"/>
  <c r="J666" i="1"/>
  <c r="J18" i="1"/>
  <c r="K830" i="1"/>
  <c r="K621" i="1"/>
  <c r="K385" i="1"/>
  <c r="K206" i="1"/>
  <c r="K25" i="1"/>
  <c r="L916" i="1" a="1"/>
  <c r="L916" i="1" s="1"/>
  <c r="L794" i="1" a="1"/>
  <c r="L794" i="1" s="1"/>
  <c r="L580" i="1" a="1"/>
  <c r="L580" i="1" s="1"/>
  <c r="L464" i="1" a="1"/>
  <c r="L464" i="1" s="1"/>
  <c r="L250" i="1" a="1"/>
  <c r="L250" i="1" s="1"/>
  <c r="L137" i="1" a="1"/>
  <c r="L137" i="1" s="1"/>
  <c r="L30" i="1" a="1"/>
  <c r="L30" i="1" s="1"/>
  <c r="C5" i="3"/>
  <c r="J999" i="1"/>
  <c r="J662" i="1"/>
  <c r="J258" i="1"/>
  <c r="J17" i="1"/>
  <c r="K817" i="1"/>
  <c r="K601" i="1"/>
  <c r="K205" i="1"/>
  <c r="K14" i="1"/>
  <c r="L909" i="1" a="1"/>
  <c r="L909" i="1" s="1"/>
  <c r="L793" i="1" a="1"/>
  <c r="L793" i="1" s="1"/>
  <c r="L573" i="1" a="1"/>
  <c r="L573" i="1" s="1"/>
  <c r="L463" i="1" a="1"/>
  <c r="L463" i="1" s="1"/>
  <c r="L244" i="1" a="1"/>
  <c r="L244" i="1" s="1"/>
  <c r="L125" i="1" a="1"/>
  <c r="L125" i="1" s="1"/>
  <c r="L29" i="1" a="1"/>
  <c r="L29" i="1" s="1"/>
  <c r="L347" i="1" a="1"/>
  <c r="L347" i="1" s="1"/>
  <c r="J708" i="1"/>
  <c r="K708" i="1"/>
  <c r="L708" i="1" a="1"/>
  <c r="L708" i="1" s="1"/>
  <c r="J444" i="1"/>
  <c r="L444" i="1" a="1"/>
  <c r="L444" i="1" s="1"/>
  <c r="K444" i="1"/>
  <c r="J108" i="1"/>
  <c r="L108" i="1" a="1"/>
  <c r="L108" i="1" s="1"/>
  <c r="K108" i="1"/>
  <c r="J899" i="1"/>
  <c r="L899" i="1" a="1"/>
  <c r="L899" i="1" s="1"/>
  <c r="J780" i="1"/>
  <c r="L780" i="1" a="1"/>
  <c r="L780" i="1" s="1"/>
  <c r="K780" i="1"/>
  <c r="J204" i="1"/>
  <c r="L204" i="1" a="1"/>
  <c r="L204" i="1" s="1"/>
  <c r="K204" i="1"/>
  <c r="J995" i="1"/>
  <c r="L995" i="1" a="1"/>
  <c r="L995" i="1" s="1"/>
  <c r="J803" i="1"/>
  <c r="L803" i="1" a="1"/>
  <c r="L803" i="1" s="1"/>
  <c r="J515" i="1"/>
  <c r="L515" i="1" a="1"/>
  <c r="L515" i="1" s="1"/>
  <c r="J323" i="1"/>
  <c r="L323" i="1" a="1"/>
  <c r="L323" i="1" s="1"/>
  <c r="J83" i="1"/>
  <c r="L83" i="1" a="1"/>
  <c r="L83" i="1" s="1"/>
  <c r="J828" i="1"/>
  <c r="L828" i="1" a="1"/>
  <c r="L828" i="1" s="1"/>
  <c r="K828" i="1"/>
  <c r="J396" i="1"/>
  <c r="L396" i="1" a="1"/>
  <c r="L396" i="1" s="1"/>
  <c r="K396" i="1"/>
  <c r="J12" i="1"/>
  <c r="L12" i="1" a="1"/>
  <c r="L12" i="1" s="1"/>
  <c r="K12" i="1"/>
  <c r="J611" i="1"/>
  <c r="L611" i="1" a="1"/>
  <c r="L611" i="1" s="1"/>
  <c r="J35" i="1"/>
  <c r="L35" i="1" a="1"/>
  <c r="L35" i="1" s="1"/>
  <c r="K995" i="1"/>
  <c r="K515" i="1"/>
  <c r="L491" i="1" a="1"/>
  <c r="L491" i="1" s="1"/>
  <c r="J972" i="1"/>
  <c r="L972" i="1" a="1"/>
  <c r="L972" i="1" s="1"/>
  <c r="K972" i="1"/>
  <c r="L660" i="1" a="1"/>
  <c r="L660" i="1" s="1"/>
  <c r="K660" i="1"/>
  <c r="J660" i="1"/>
  <c r="L180" i="1" a="1"/>
  <c r="L180" i="1" s="1"/>
  <c r="J180" i="1"/>
  <c r="K180" i="1"/>
  <c r="J971" i="1"/>
  <c r="L971" i="1" a="1"/>
  <c r="L971" i="1" s="1"/>
  <c r="J659" i="1"/>
  <c r="L659" i="1" a="1"/>
  <c r="L659" i="1" s="1"/>
  <c r="J395" i="1"/>
  <c r="L395" i="1" a="1"/>
  <c r="L395" i="1" s="1"/>
  <c r="J11" i="1"/>
  <c r="L11" i="1" a="1"/>
  <c r="L11" i="1" s="1"/>
  <c r="K971" i="1"/>
  <c r="K347" i="1"/>
  <c r="J684" i="1"/>
  <c r="L684" i="1" a="1"/>
  <c r="L684" i="1" s="1"/>
  <c r="K684" i="1"/>
  <c r="L372" i="1" a="1"/>
  <c r="L372" i="1" s="1"/>
  <c r="K372" i="1"/>
  <c r="J156" i="1"/>
  <c r="L156" i="1" a="1"/>
  <c r="L156" i="1" s="1"/>
  <c r="K156" i="1"/>
  <c r="J755" i="1"/>
  <c r="L755" i="1" a="1"/>
  <c r="L755" i="1" s="1"/>
  <c r="J59" i="1"/>
  <c r="L59" i="1" a="1"/>
  <c r="L59" i="1" s="1"/>
  <c r="L675" i="1" a="1"/>
  <c r="L675" i="1" s="1"/>
  <c r="J900" i="1"/>
  <c r="K900" i="1"/>
  <c r="L900" i="1" a="1"/>
  <c r="L900" i="1" s="1"/>
  <c r="J492" i="1"/>
  <c r="L492" i="1" a="1"/>
  <c r="L492" i="1" s="1"/>
  <c r="K492" i="1"/>
  <c r="J84" i="1"/>
  <c r="K84" i="1"/>
  <c r="L84" i="1" a="1"/>
  <c r="L84" i="1" s="1"/>
  <c r="J227" i="1"/>
  <c r="L227" i="1" a="1"/>
  <c r="L227" i="1" s="1"/>
  <c r="L876" i="1" a="1"/>
  <c r="L876" i="1" s="1"/>
  <c r="J876" i="1"/>
  <c r="K876" i="1"/>
  <c r="K468" i="1"/>
  <c r="L468" i="1" a="1"/>
  <c r="L468" i="1" s="1"/>
  <c r="J36" i="1"/>
  <c r="L36" i="1" a="1"/>
  <c r="L36" i="1" s="1"/>
  <c r="K36" i="1"/>
  <c r="J683" i="1"/>
  <c r="L683" i="1" a="1"/>
  <c r="L683" i="1" s="1"/>
  <c r="J203" i="1"/>
  <c r="L203" i="1" a="1"/>
  <c r="L203" i="1" s="1"/>
  <c r="L779" i="1" a="1"/>
  <c r="L779" i="1" s="1"/>
  <c r="J804" i="1"/>
  <c r="L804" i="1" a="1"/>
  <c r="L804" i="1" s="1"/>
  <c r="K804" i="1"/>
  <c r="J564" i="1"/>
  <c r="K564" i="1"/>
  <c r="L564" i="1" a="1"/>
  <c r="L564" i="1" s="1"/>
  <c r="L300" i="1" a="1"/>
  <c r="L300" i="1" s="1"/>
  <c r="K300" i="1"/>
  <c r="L60" i="1" a="1"/>
  <c r="L60" i="1" s="1"/>
  <c r="K60" i="1"/>
  <c r="J60" i="1"/>
  <c r="J539" i="1"/>
  <c r="L539" i="1" a="1"/>
  <c r="L539" i="1" s="1"/>
  <c r="J179" i="1"/>
  <c r="L179" i="1" a="1"/>
  <c r="L179" i="1" s="1"/>
  <c r="K659" i="1"/>
  <c r="K323" i="1"/>
  <c r="K179" i="1"/>
  <c r="K35" i="1"/>
  <c r="J324" i="1"/>
  <c r="K324" i="1"/>
  <c r="L324" i="1" a="1"/>
  <c r="L324" i="1" s="1"/>
  <c r="J827" i="1"/>
  <c r="L827" i="1" a="1"/>
  <c r="L827" i="1" s="1"/>
  <c r="J563" i="1"/>
  <c r="L563" i="1" a="1"/>
  <c r="L563" i="1" s="1"/>
  <c r="J443" i="1"/>
  <c r="L443" i="1" a="1"/>
  <c r="L443" i="1" s="1"/>
  <c r="J131" i="1"/>
  <c r="L131" i="1" a="1"/>
  <c r="L131" i="1" s="1"/>
  <c r="K491" i="1"/>
  <c r="J651" i="1"/>
  <c r="L651" i="1" a="1"/>
  <c r="L651" i="1" s="1"/>
  <c r="J507" i="1"/>
  <c r="L507" i="1" a="1"/>
  <c r="L507" i="1" s="1"/>
  <c r="J459" i="1"/>
  <c r="L459" i="1" a="1"/>
  <c r="L459" i="1" s="1"/>
  <c r="J243" i="1"/>
  <c r="L243" i="1" a="1"/>
  <c r="L243" i="1" s="1"/>
  <c r="J219" i="1"/>
  <c r="L219" i="1" a="1"/>
  <c r="L219" i="1" s="1"/>
  <c r="J195" i="1"/>
  <c r="L195" i="1" a="1"/>
  <c r="L195" i="1" s="1"/>
  <c r="J171" i="1"/>
  <c r="L171" i="1" a="1"/>
  <c r="L171" i="1" s="1"/>
  <c r="J147" i="1"/>
  <c r="L147" i="1" a="1"/>
  <c r="L147" i="1" s="1"/>
  <c r="J123" i="1"/>
  <c r="L123" i="1" a="1"/>
  <c r="L123" i="1" s="1"/>
  <c r="J99" i="1"/>
  <c r="L99" i="1" a="1"/>
  <c r="L99" i="1" s="1"/>
  <c r="J75" i="1"/>
  <c r="L75" i="1" a="1"/>
  <c r="L75" i="1" s="1"/>
  <c r="J51" i="1"/>
  <c r="L51" i="1" a="1"/>
  <c r="L51" i="1" s="1"/>
  <c r="J27" i="1"/>
  <c r="L27" i="1" a="1"/>
  <c r="L27" i="1" s="1"/>
  <c r="J3" i="1"/>
  <c r="D5" i="3" s="1"/>
  <c r="L3" i="1" a="1"/>
  <c r="L3" i="1" s="1"/>
  <c r="K803" i="1"/>
  <c r="K635" i="1"/>
  <c r="L923" i="1" a="1"/>
  <c r="L923" i="1" s="1"/>
  <c r="K996" i="1"/>
  <c r="L996" i="1" a="1"/>
  <c r="L996" i="1" s="1"/>
  <c r="J588" i="1"/>
  <c r="L588" i="1" a="1"/>
  <c r="L588" i="1" s="1"/>
  <c r="K588" i="1"/>
  <c r="L252" i="1" a="1"/>
  <c r="L252" i="1" s="1"/>
  <c r="K252" i="1"/>
  <c r="J771" i="1"/>
  <c r="L771" i="1" a="1"/>
  <c r="L771" i="1" s="1"/>
  <c r="J291" i="1"/>
  <c r="L291" i="1" a="1"/>
  <c r="L291" i="1" s="1"/>
  <c r="L636" i="1" a="1"/>
  <c r="L636" i="1" s="1"/>
  <c r="J636" i="1"/>
  <c r="K636" i="1"/>
  <c r="J707" i="1"/>
  <c r="L707" i="1" a="1"/>
  <c r="L707" i="1" s="1"/>
  <c r="J275" i="1"/>
  <c r="L275" i="1" a="1"/>
  <c r="L275" i="1" s="1"/>
  <c r="J939" i="1"/>
  <c r="L939" i="1" a="1"/>
  <c r="L939" i="1" s="1"/>
  <c r="J699" i="1"/>
  <c r="L699" i="1" a="1"/>
  <c r="L699" i="1" s="1"/>
  <c r="J387" i="1"/>
  <c r="L387" i="1" a="1"/>
  <c r="L387" i="1" s="1"/>
  <c r="J960" i="1"/>
  <c r="L960" i="1" a="1"/>
  <c r="L960" i="1" s="1"/>
  <c r="J888" i="1"/>
  <c r="K888" i="1"/>
  <c r="L888" i="1" a="1"/>
  <c r="L888" i="1" s="1"/>
  <c r="J864" i="1"/>
  <c r="L864" i="1" a="1"/>
  <c r="L864" i="1" s="1"/>
  <c r="J840" i="1"/>
  <c r="K840" i="1"/>
  <c r="J816" i="1"/>
  <c r="L816" i="1" a="1"/>
  <c r="L816" i="1" s="1"/>
  <c r="J792" i="1"/>
  <c r="K792" i="1"/>
  <c r="L792" i="1" a="1"/>
  <c r="L792" i="1" s="1"/>
  <c r="J768" i="1"/>
  <c r="L768" i="1" a="1"/>
  <c r="L768" i="1" s="1"/>
  <c r="K768" i="1"/>
  <c r="J744" i="1"/>
  <c r="K744" i="1"/>
  <c r="L744" i="1" a="1"/>
  <c r="L744" i="1" s="1"/>
  <c r="J720" i="1"/>
  <c r="L720" i="1" a="1"/>
  <c r="L720" i="1" s="1"/>
  <c r="K720" i="1"/>
  <c r="J696" i="1"/>
  <c r="K696" i="1"/>
  <c r="K672" i="1"/>
  <c r="L672" i="1" a="1"/>
  <c r="L672" i="1" s="1"/>
  <c r="J672" i="1"/>
  <c r="J648" i="1"/>
  <c r="K648" i="1"/>
  <c r="L648" i="1" a="1"/>
  <c r="L648" i="1" s="1"/>
  <c r="J624" i="1"/>
  <c r="L624" i="1" a="1"/>
  <c r="L624" i="1" s="1"/>
  <c r="K624" i="1"/>
  <c r="J600" i="1"/>
  <c r="K600" i="1"/>
  <c r="L600" i="1" a="1"/>
  <c r="L600" i="1" s="1"/>
  <c r="J576" i="1"/>
  <c r="L576" i="1" a="1"/>
  <c r="L576" i="1" s="1"/>
  <c r="K576" i="1"/>
  <c r="J552" i="1"/>
  <c r="K552" i="1"/>
  <c r="J528" i="1"/>
  <c r="K528" i="1"/>
  <c r="L528" i="1" a="1"/>
  <c r="L528" i="1" s="1"/>
  <c r="K504" i="1"/>
  <c r="L504" i="1" a="1"/>
  <c r="L504" i="1" s="1"/>
  <c r="J480" i="1"/>
  <c r="L480" i="1" a="1"/>
  <c r="L480" i="1" s="1"/>
  <c r="K480" i="1"/>
  <c r="J456" i="1"/>
  <c r="K456" i="1"/>
  <c r="L456" i="1" a="1"/>
  <c r="L456" i="1" s="1"/>
  <c r="J432" i="1"/>
  <c r="L432" i="1" a="1"/>
  <c r="L432" i="1" s="1"/>
  <c r="K432" i="1"/>
  <c r="J408" i="1"/>
  <c r="K408" i="1"/>
  <c r="L408" i="1" a="1"/>
  <c r="L408" i="1" s="1"/>
  <c r="J384" i="1"/>
  <c r="L384" i="1" a="1"/>
  <c r="L384" i="1" s="1"/>
  <c r="K384" i="1"/>
  <c r="J360" i="1"/>
  <c r="K360" i="1"/>
  <c r="L360" i="1" a="1"/>
  <c r="L360" i="1" s="1"/>
  <c r="J336" i="1"/>
  <c r="L336" i="1" a="1"/>
  <c r="L336" i="1" s="1"/>
  <c r="K336" i="1"/>
  <c r="J312" i="1"/>
  <c r="K312" i="1"/>
  <c r="L312" i="1" a="1"/>
  <c r="L312" i="1" s="1"/>
  <c r="J288" i="1"/>
  <c r="L288" i="1" a="1"/>
  <c r="L288" i="1" s="1"/>
  <c r="K288" i="1"/>
  <c r="J264" i="1"/>
  <c r="K264" i="1"/>
  <c r="L264" i="1" a="1"/>
  <c r="L264" i="1" s="1"/>
  <c r="J240" i="1"/>
  <c r="L240" i="1" a="1"/>
  <c r="L240" i="1" s="1"/>
  <c r="K240" i="1"/>
  <c r="K216" i="1"/>
  <c r="J216" i="1"/>
  <c r="L216" i="1" a="1"/>
  <c r="L216" i="1" s="1"/>
  <c r="J192" i="1"/>
  <c r="L192" i="1" a="1"/>
  <c r="L192" i="1" s="1"/>
  <c r="K192" i="1"/>
  <c r="J168" i="1"/>
  <c r="K168" i="1"/>
  <c r="L168" i="1" a="1"/>
  <c r="L168" i="1" s="1"/>
  <c r="J144" i="1"/>
  <c r="L144" i="1" a="1"/>
  <c r="L144" i="1" s="1"/>
  <c r="K144" i="1"/>
  <c r="J120" i="1"/>
  <c r="K120" i="1"/>
  <c r="L120" i="1" a="1"/>
  <c r="L120" i="1" s="1"/>
  <c r="L96" i="1" a="1"/>
  <c r="L96" i="1" s="1"/>
  <c r="J96" i="1"/>
  <c r="K96" i="1"/>
  <c r="J72" i="1"/>
  <c r="L72" i="1" a="1"/>
  <c r="L72" i="1" s="1"/>
  <c r="K72" i="1"/>
  <c r="J48" i="1"/>
  <c r="L48" i="1" a="1"/>
  <c r="L48" i="1" s="1"/>
  <c r="K48" i="1"/>
  <c r="J24" i="1"/>
  <c r="K24" i="1"/>
  <c r="L24" i="1" a="1"/>
  <c r="L24" i="1" s="1"/>
  <c r="J372" i="1"/>
  <c r="K923" i="1"/>
  <c r="K779" i="1"/>
  <c r="K11" i="1"/>
  <c r="L107" i="1" a="1"/>
  <c r="L107" i="1" s="1"/>
  <c r="K756" i="1"/>
  <c r="J756" i="1"/>
  <c r="L756" i="1" a="1"/>
  <c r="L756" i="1" s="1"/>
  <c r="J276" i="1"/>
  <c r="L276" i="1" a="1"/>
  <c r="L276" i="1" s="1"/>
  <c r="K276" i="1"/>
  <c r="J731" i="1"/>
  <c r="L731" i="1" a="1"/>
  <c r="L731" i="1" s="1"/>
  <c r="J867" i="1"/>
  <c r="L867" i="1" a="1"/>
  <c r="L867" i="1" s="1"/>
  <c r="J627" i="1"/>
  <c r="L627" i="1" a="1"/>
  <c r="L627" i="1" s="1"/>
  <c r="J435" i="1"/>
  <c r="L435" i="1" a="1"/>
  <c r="L435" i="1" s="1"/>
  <c r="J887" i="1"/>
  <c r="L887" i="1" a="1"/>
  <c r="L887" i="1" s="1"/>
  <c r="K887" i="1"/>
  <c r="J719" i="1"/>
  <c r="L719" i="1" a="1"/>
  <c r="L719" i="1" s="1"/>
  <c r="K719" i="1"/>
  <c r="J575" i="1"/>
  <c r="L575" i="1" a="1"/>
  <c r="L575" i="1" s="1"/>
  <c r="K575" i="1"/>
  <c r="J455" i="1"/>
  <c r="L455" i="1" a="1"/>
  <c r="L455" i="1" s="1"/>
  <c r="K455" i="1"/>
  <c r="J359" i="1"/>
  <c r="K359" i="1"/>
  <c r="L359" i="1" a="1"/>
  <c r="L359" i="1" s="1"/>
  <c r="J263" i="1"/>
  <c r="K263" i="1"/>
  <c r="L263" i="1" a="1"/>
  <c r="L263" i="1" s="1"/>
  <c r="J239" i="1"/>
  <c r="L239" i="1" a="1"/>
  <c r="L239" i="1" s="1"/>
  <c r="K239" i="1"/>
  <c r="J191" i="1"/>
  <c r="L191" i="1" a="1"/>
  <c r="L191" i="1" s="1"/>
  <c r="K191" i="1"/>
  <c r="L95" i="1" a="1"/>
  <c r="L95" i="1" s="1"/>
  <c r="J95" i="1"/>
  <c r="K95" i="1"/>
  <c r="J47" i="1"/>
  <c r="L47" i="1" a="1"/>
  <c r="L47" i="1" s="1"/>
  <c r="K47" i="1"/>
  <c r="J23" i="1"/>
  <c r="K23" i="1"/>
  <c r="L23" i="1" a="1"/>
  <c r="L23" i="1" s="1"/>
  <c r="K611" i="1"/>
  <c r="K443" i="1"/>
  <c r="L516" i="1" a="1"/>
  <c r="L516" i="1" s="1"/>
  <c r="K516" i="1"/>
  <c r="J516" i="1"/>
  <c r="J851" i="1"/>
  <c r="L851" i="1" a="1"/>
  <c r="L851" i="1" s="1"/>
  <c r="J371" i="1"/>
  <c r="L371" i="1" a="1"/>
  <c r="L371" i="1" s="1"/>
  <c r="J843" i="1"/>
  <c r="L843" i="1" a="1"/>
  <c r="L843" i="1" s="1"/>
  <c r="J579" i="1"/>
  <c r="L579" i="1" a="1"/>
  <c r="L579" i="1" s="1"/>
  <c r="J363" i="1"/>
  <c r="L363" i="1" a="1"/>
  <c r="L363" i="1" s="1"/>
  <c r="J911" i="1"/>
  <c r="L911" i="1" a="1"/>
  <c r="L911" i="1" s="1"/>
  <c r="K911" i="1"/>
  <c r="J695" i="1"/>
  <c r="K695" i="1"/>
  <c r="L695" i="1" a="1"/>
  <c r="L695" i="1" s="1"/>
  <c r="J479" i="1"/>
  <c r="L479" i="1" a="1"/>
  <c r="L479" i="1" s="1"/>
  <c r="K479" i="1"/>
  <c r="J71" i="1"/>
  <c r="K71" i="1"/>
  <c r="J886" i="1"/>
  <c r="L886" i="1" a="1"/>
  <c r="L886" i="1" s="1"/>
  <c r="K886" i="1"/>
  <c r="J766" i="1"/>
  <c r="L766" i="1" a="1"/>
  <c r="L766" i="1" s="1"/>
  <c r="J646" i="1"/>
  <c r="K646" i="1"/>
  <c r="L646" i="1" a="1"/>
  <c r="L646" i="1" s="1"/>
  <c r="K550" i="1"/>
  <c r="J550" i="1"/>
  <c r="K502" i="1"/>
  <c r="J502" i="1"/>
  <c r="L502" i="1" a="1"/>
  <c r="L502" i="1" s="1"/>
  <c r="J478" i="1"/>
  <c r="L478" i="1" a="1"/>
  <c r="L478" i="1" s="1"/>
  <c r="J454" i="1"/>
  <c r="L454" i="1" a="1"/>
  <c r="L454" i="1" s="1"/>
  <c r="K454" i="1"/>
  <c r="J430" i="1"/>
  <c r="L430" i="1" a="1"/>
  <c r="L430" i="1" s="1"/>
  <c r="J406" i="1"/>
  <c r="K406" i="1"/>
  <c r="L406" i="1" a="1"/>
  <c r="L406" i="1" s="1"/>
  <c r="J382" i="1"/>
  <c r="L382" i="1" a="1"/>
  <c r="L382" i="1" s="1"/>
  <c r="J358" i="1"/>
  <c r="K358" i="1"/>
  <c r="L358" i="1" a="1"/>
  <c r="L358" i="1" s="1"/>
  <c r="J334" i="1"/>
  <c r="L334" i="1" a="1"/>
  <c r="L334" i="1" s="1"/>
  <c r="J310" i="1"/>
  <c r="K310" i="1"/>
  <c r="L310" i="1" a="1"/>
  <c r="L310" i="1" s="1"/>
  <c r="J286" i="1"/>
  <c r="L286" i="1" a="1"/>
  <c r="L286" i="1" s="1"/>
  <c r="J262" i="1"/>
  <c r="K262" i="1"/>
  <c r="L262" i="1" a="1"/>
  <c r="L262" i="1" s="1"/>
  <c r="J238" i="1"/>
  <c r="L238" i="1" a="1"/>
  <c r="L238" i="1" s="1"/>
  <c r="K214" i="1"/>
  <c r="J214" i="1"/>
  <c r="L214" i="1" a="1"/>
  <c r="L214" i="1" s="1"/>
  <c r="J190" i="1"/>
  <c r="L190" i="1" a="1"/>
  <c r="L190" i="1" s="1"/>
  <c r="J166" i="1"/>
  <c r="K166" i="1"/>
  <c r="L166" i="1" a="1"/>
  <c r="L166" i="1" s="1"/>
  <c r="J142" i="1"/>
  <c r="L142" i="1" a="1"/>
  <c r="L142" i="1" s="1"/>
  <c r="J118" i="1"/>
  <c r="K118" i="1"/>
  <c r="L118" i="1" a="1"/>
  <c r="L118" i="1" s="1"/>
  <c r="J70" i="1"/>
  <c r="K70" i="1"/>
  <c r="L70" i="1" a="1"/>
  <c r="L70" i="1" s="1"/>
  <c r="J22" i="1"/>
  <c r="K22" i="1"/>
  <c r="L22" i="1" a="1"/>
  <c r="L22" i="1" s="1"/>
  <c r="J996" i="1"/>
  <c r="K766" i="1"/>
  <c r="K286" i="1"/>
  <c r="K142" i="1"/>
  <c r="L910" i="1" a="1"/>
  <c r="L910" i="1" s="1"/>
  <c r="L819" i="1" a="1"/>
  <c r="L819" i="1" s="1"/>
  <c r="L635" i="1" a="1"/>
  <c r="L635" i="1" s="1"/>
  <c r="L552" i="1" a="1"/>
  <c r="L552" i="1" s="1"/>
  <c r="J852" i="1"/>
  <c r="K852" i="1"/>
  <c r="L852" i="1" a="1"/>
  <c r="L852" i="1" s="1"/>
  <c r="J587" i="1"/>
  <c r="L587" i="1" a="1"/>
  <c r="L587" i="1" s="1"/>
  <c r="J299" i="1"/>
  <c r="L299" i="1" a="1"/>
  <c r="L299" i="1" s="1"/>
  <c r="J987" i="1"/>
  <c r="L987" i="1" a="1"/>
  <c r="L987" i="1" s="1"/>
  <c r="J795" i="1"/>
  <c r="L795" i="1" a="1"/>
  <c r="L795" i="1" s="1"/>
  <c r="J603" i="1"/>
  <c r="L603" i="1" a="1"/>
  <c r="L603" i="1" s="1"/>
  <c r="J315" i="1"/>
  <c r="L315" i="1" a="1"/>
  <c r="L315" i="1" s="1"/>
  <c r="J936" i="1"/>
  <c r="K936" i="1"/>
  <c r="L936" i="1" a="1"/>
  <c r="L936" i="1" s="1"/>
  <c r="J815" i="1"/>
  <c r="L815" i="1" a="1"/>
  <c r="L815" i="1" s="1"/>
  <c r="K815" i="1"/>
  <c r="J599" i="1"/>
  <c r="L599" i="1" a="1"/>
  <c r="L599" i="1" s="1"/>
  <c r="K599" i="1"/>
  <c r="K215" i="1"/>
  <c r="J215" i="1"/>
  <c r="L215" i="1" a="1"/>
  <c r="L215" i="1" s="1"/>
  <c r="K910" i="1"/>
  <c r="K430" i="1"/>
  <c r="L550" i="1" a="1"/>
  <c r="L550" i="1" s="1"/>
  <c r="L924" i="1" a="1"/>
  <c r="L924" i="1" s="1"/>
  <c r="J924" i="1"/>
  <c r="K924" i="1"/>
  <c r="J732" i="1"/>
  <c r="L732" i="1" a="1"/>
  <c r="L732" i="1" s="1"/>
  <c r="K732" i="1"/>
  <c r="J612" i="1"/>
  <c r="K612" i="1"/>
  <c r="L612" i="1" a="1"/>
  <c r="L612" i="1" s="1"/>
  <c r="J420" i="1"/>
  <c r="K420" i="1"/>
  <c r="L420" i="1" a="1"/>
  <c r="L420" i="1" s="1"/>
  <c r="K228" i="1"/>
  <c r="L228" i="1" a="1"/>
  <c r="L228" i="1" s="1"/>
  <c r="J891" i="1"/>
  <c r="L891" i="1" a="1"/>
  <c r="L891" i="1" s="1"/>
  <c r="J483" i="1"/>
  <c r="L483" i="1" a="1"/>
  <c r="L483" i="1" s="1"/>
  <c r="J267" i="1"/>
  <c r="L267" i="1" a="1"/>
  <c r="L267" i="1" s="1"/>
  <c r="J959" i="1"/>
  <c r="L959" i="1" a="1"/>
  <c r="L959" i="1" s="1"/>
  <c r="K959" i="1"/>
  <c r="K839" i="1"/>
  <c r="J839" i="1"/>
  <c r="L839" i="1" a="1"/>
  <c r="L839" i="1" s="1"/>
  <c r="J743" i="1"/>
  <c r="L743" i="1" a="1"/>
  <c r="L743" i="1" s="1"/>
  <c r="K743" i="1"/>
  <c r="J623" i="1"/>
  <c r="L623" i="1" a="1"/>
  <c r="L623" i="1" s="1"/>
  <c r="K623" i="1"/>
  <c r="K503" i="1"/>
  <c r="L503" i="1" a="1"/>
  <c r="L503" i="1" s="1"/>
  <c r="J383" i="1"/>
  <c r="L383" i="1" a="1"/>
  <c r="L383" i="1" s="1"/>
  <c r="K383" i="1"/>
  <c r="J311" i="1"/>
  <c r="K311" i="1"/>
  <c r="L311" i="1" a="1"/>
  <c r="L311" i="1" s="1"/>
  <c r="J167" i="1"/>
  <c r="K167" i="1"/>
  <c r="L167" i="1" a="1"/>
  <c r="L167" i="1" s="1"/>
  <c r="J718" i="1"/>
  <c r="L718" i="1" a="1"/>
  <c r="L718" i="1" s="1"/>
  <c r="J574" i="1"/>
  <c r="L574" i="1" a="1"/>
  <c r="L574" i="1" s="1"/>
  <c r="J956" i="1"/>
  <c r="L956" i="1" a="1"/>
  <c r="L956" i="1" s="1"/>
  <c r="K956" i="1"/>
  <c r="J860" i="1"/>
  <c r="K860" i="1"/>
  <c r="L860" i="1" a="1"/>
  <c r="L860" i="1" s="1"/>
  <c r="J812" i="1"/>
  <c r="L812" i="1" a="1"/>
  <c r="L812" i="1" s="1"/>
  <c r="K812" i="1"/>
  <c r="J740" i="1"/>
  <c r="L740" i="1" a="1"/>
  <c r="L740" i="1" s="1"/>
  <c r="K740" i="1"/>
  <c r="J692" i="1"/>
  <c r="K692" i="1"/>
  <c r="L692" i="1" a="1"/>
  <c r="L692" i="1" s="1"/>
  <c r="J644" i="1"/>
  <c r="K644" i="1"/>
  <c r="L644" i="1" a="1"/>
  <c r="L644" i="1" s="1"/>
  <c r="J596" i="1"/>
  <c r="L596" i="1" a="1"/>
  <c r="L596" i="1" s="1"/>
  <c r="K596" i="1"/>
  <c r="K572" i="1"/>
  <c r="L572" i="1" a="1"/>
  <c r="L572" i="1" s="1"/>
  <c r="J524" i="1"/>
  <c r="L524" i="1" a="1"/>
  <c r="L524" i="1" s="1"/>
  <c r="K524" i="1"/>
  <c r="K500" i="1"/>
  <c r="J500" i="1"/>
  <c r="L500" i="1" a="1"/>
  <c r="L500" i="1" s="1"/>
  <c r="J476" i="1"/>
  <c r="L476" i="1" a="1"/>
  <c r="L476" i="1" s="1"/>
  <c r="K476" i="1"/>
  <c r="J452" i="1"/>
  <c r="L452" i="1" a="1"/>
  <c r="L452" i="1" s="1"/>
  <c r="K452" i="1"/>
  <c r="K428" i="1"/>
  <c r="J428" i="1"/>
  <c r="L428" i="1" a="1"/>
  <c r="L428" i="1" s="1"/>
  <c r="J404" i="1"/>
  <c r="K404" i="1"/>
  <c r="J380" i="1"/>
  <c r="L380" i="1" a="1"/>
  <c r="L380" i="1" s="1"/>
  <c r="K380" i="1"/>
  <c r="J356" i="1"/>
  <c r="K356" i="1"/>
  <c r="L356" i="1" a="1"/>
  <c r="L356" i="1" s="1"/>
  <c r="J332" i="1"/>
  <c r="K332" i="1"/>
  <c r="L332" i="1" a="1"/>
  <c r="L332" i="1" s="1"/>
  <c r="J308" i="1"/>
  <c r="K308" i="1"/>
  <c r="J284" i="1"/>
  <c r="L284" i="1" a="1"/>
  <c r="L284" i="1" s="1"/>
  <c r="K284" i="1"/>
  <c r="J260" i="1"/>
  <c r="K260" i="1"/>
  <c r="L260" i="1" a="1"/>
  <c r="L260" i="1" s="1"/>
  <c r="J236" i="1"/>
  <c r="K236" i="1"/>
  <c r="L236" i="1" a="1"/>
  <c r="L236" i="1" s="1"/>
  <c r="K212" i="1"/>
  <c r="J212" i="1"/>
  <c r="J188" i="1"/>
  <c r="L188" i="1" a="1"/>
  <c r="L188" i="1" s="1"/>
  <c r="K188" i="1"/>
  <c r="J164" i="1"/>
  <c r="K164" i="1"/>
  <c r="L164" i="1" a="1"/>
  <c r="L164" i="1" s="1"/>
  <c r="K140" i="1"/>
  <c r="L140" i="1" a="1"/>
  <c r="L140" i="1" s="1"/>
  <c r="J116" i="1"/>
  <c r="K116" i="1"/>
  <c r="L116" i="1" a="1"/>
  <c r="L116" i="1" s="1"/>
  <c r="L92" i="1" a="1"/>
  <c r="L92" i="1" s="1"/>
  <c r="J92" i="1"/>
  <c r="K92" i="1"/>
  <c r="J68" i="1"/>
  <c r="K68" i="1"/>
  <c r="L68" i="1" a="1"/>
  <c r="L68" i="1" s="1"/>
  <c r="J44" i="1"/>
  <c r="L44" i="1" a="1"/>
  <c r="L44" i="1" s="1"/>
  <c r="K44" i="1"/>
  <c r="J20" i="1"/>
  <c r="L20" i="1" a="1"/>
  <c r="L20" i="1" s="1"/>
  <c r="K20" i="1"/>
  <c r="K755" i="1"/>
  <c r="K587" i="1"/>
  <c r="K275" i="1"/>
  <c r="K131" i="1"/>
  <c r="L814" i="1" a="1"/>
  <c r="L814" i="1" s="1"/>
  <c r="L948" i="1" a="1"/>
  <c r="L948" i="1" s="1"/>
  <c r="J948" i="1"/>
  <c r="K948" i="1"/>
  <c r="L540" i="1" a="1"/>
  <c r="L540" i="1" s="1"/>
  <c r="J540" i="1"/>
  <c r="K540" i="1"/>
  <c r="L132" i="1" a="1"/>
  <c r="L132" i="1" s="1"/>
  <c r="K132" i="1"/>
  <c r="J132" i="1"/>
  <c r="J875" i="1"/>
  <c r="L875" i="1" a="1"/>
  <c r="L875" i="1" s="1"/>
  <c r="J467" i="1"/>
  <c r="L467" i="1" a="1"/>
  <c r="L467" i="1" s="1"/>
  <c r="J155" i="1"/>
  <c r="L155" i="1" a="1"/>
  <c r="L155" i="1" s="1"/>
  <c r="J747" i="1"/>
  <c r="L747" i="1" a="1"/>
  <c r="L747" i="1" s="1"/>
  <c r="J339" i="1"/>
  <c r="L339" i="1" a="1"/>
  <c r="L339" i="1" s="1"/>
  <c r="J984" i="1"/>
  <c r="K984" i="1"/>
  <c r="J983" i="1"/>
  <c r="K983" i="1"/>
  <c r="L983" i="1" a="1"/>
  <c r="L983" i="1" s="1"/>
  <c r="J863" i="1"/>
  <c r="L863" i="1" a="1"/>
  <c r="L863" i="1" s="1"/>
  <c r="K863" i="1"/>
  <c r="J767" i="1"/>
  <c r="L767" i="1" a="1"/>
  <c r="L767" i="1" s="1"/>
  <c r="K767" i="1"/>
  <c r="J647" i="1"/>
  <c r="K647" i="1"/>
  <c r="L647" i="1" a="1"/>
  <c r="L647" i="1" s="1"/>
  <c r="K551" i="1"/>
  <c r="L551" i="1" a="1"/>
  <c r="L551" i="1" s="1"/>
  <c r="J551" i="1"/>
  <c r="J431" i="1"/>
  <c r="L431" i="1" a="1"/>
  <c r="L431" i="1" s="1"/>
  <c r="K431" i="1"/>
  <c r="J335" i="1"/>
  <c r="L335" i="1" a="1"/>
  <c r="L335" i="1" s="1"/>
  <c r="K335" i="1"/>
  <c r="J119" i="1"/>
  <c r="K119" i="1"/>
  <c r="L119" i="1" a="1"/>
  <c r="L119" i="1" s="1"/>
  <c r="J982" i="1"/>
  <c r="K982" i="1"/>
  <c r="J862" i="1"/>
  <c r="L862" i="1" a="1"/>
  <c r="L862" i="1" s="1"/>
  <c r="K790" i="1"/>
  <c r="L790" i="1" a="1"/>
  <c r="L790" i="1" s="1"/>
  <c r="J694" i="1"/>
  <c r="K694" i="1"/>
  <c r="J598" i="1"/>
  <c r="L598" i="1" a="1"/>
  <c r="L598" i="1" s="1"/>
  <c r="K598" i="1"/>
  <c r="J932" i="1"/>
  <c r="K932" i="1"/>
  <c r="L932" i="1" a="1"/>
  <c r="L932" i="1" s="1"/>
  <c r="J884" i="1"/>
  <c r="L884" i="1" a="1"/>
  <c r="L884" i="1" s="1"/>
  <c r="K884" i="1"/>
  <c r="K836" i="1"/>
  <c r="J836" i="1"/>
  <c r="L836" i="1" a="1"/>
  <c r="L836" i="1" s="1"/>
  <c r="J764" i="1"/>
  <c r="L764" i="1" a="1"/>
  <c r="L764" i="1" s="1"/>
  <c r="K764" i="1"/>
  <c r="K716" i="1"/>
  <c r="L716" i="1" a="1"/>
  <c r="L716" i="1" s="1"/>
  <c r="L668" i="1" a="1"/>
  <c r="L668" i="1" s="1"/>
  <c r="K668" i="1"/>
  <c r="K548" i="1"/>
  <c r="L548" i="1" a="1"/>
  <c r="L548" i="1" s="1"/>
  <c r="J572" i="1"/>
  <c r="J300" i="1"/>
  <c r="J46" i="1"/>
  <c r="K899" i="1"/>
  <c r="J348" i="1"/>
  <c r="L348" i="1" a="1"/>
  <c r="L348" i="1" s="1"/>
  <c r="K348" i="1"/>
  <c r="J947" i="1"/>
  <c r="L947" i="1" a="1"/>
  <c r="L947" i="1" s="1"/>
  <c r="J419" i="1"/>
  <c r="L419" i="1" a="1"/>
  <c r="L419" i="1" s="1"/>
  <c r="J915" i="1"/>
  <c r="L915" i="1" a="1"/>
  <c r="L915" i="1" s="1"/>
  <c r="J723" i="1"/>
  <c r="L723" i="1" a="1"/>
  <c r="L723" i="1" s="1"/>
  <c r="J555" i="1"/>
  <c r="L555" i="1" a="1"/>
  <c r="L555" i="1" s="1"/>
  <c r="J411" i="1"/>
  <c r="L411" i="1" a="1"/>
  <c r="L411" i="1" s="1"/>
  <c r="J912" i="1"/>
  <c r="L912" i="1" a="1"/>
  <c r="L912" i="1" s="1"/>
  <c r="J935" i="1"/>
  <c r="K935" i="1"/>
  <c r="L935" i="1" a="1"/>
  <c r="L935" i="1" s="1"/>
  <c r="J791" i="1"/>
  <c r="K791" i="1"/>
  <c r="L791" i="1" a="1"/>
  <c r="L791" i="1" s="1"/>
  <c r="L671" i="1" a="1"/>
  <c r="L671" i="1" s="1"/>
  <c r="K671" i="1"/>
  <c r="J671" i="1"/>
  <c r="J527" i="1"/>
  <c r="L527" i="1" a="1"/>
  <c r="L527" i="1" s="1"/>
  <c r="K527" i="1"/>
  <c r="J407" i="1"/>
  <c r="K407" i="1"/>
  <c r="L407" i="1" a="1"/>
  <c r="L407" i="1" s="1"/>
  <c r="J287" i="1"/>
  <c r="L287" i="1" a="1"/>
  <c r="L287" i="1" s="1"/>
  <c r="K287" i="1"/>
  <c r="J143" i="1"/>
  <c r="K143" i="1"/>
  <c r="J934" i="1"/>
  <c r="K934" i="1"/>
  <c r="L934" i="1" a="1"/>
  <c r="L934" i="1" s="1"/>
  <c r="K838" i="1"/>
  <c r="J838" i="1"/>
  <c r="J742" i="1"/>
  <c r="L742" i="1" a="1"/>
  <c r="L742" i="1" s="1"/>
  <c r="K742" i="1"/>
  <c r="J622" i="1"/>
  <c r="L622" i="1" a="1"/>
  <c r="L622" i="1" s="1"/>
  <c r="J980" i="1"/>
  <c r="K980" i="1"/>
  <c r="L980" i="1" a="1"/>
  <c r="L980" i="1" s="1"/>
  <c r="J908" i="1"/>
  <c r="L908" i="1" a="1"/>
  <c r="L908" i="1" s="1"/>
  <c r="K908" i="1"/>
  <c r="K788" i="1"/>
  <c r="L788" i="1" a="1"/>
  <c r="L788" i="1" s="1"/>
  <c r="J788" i="1"/>
  <c r="J620" i="1"/>
  <c r="L620" i="1" a="1"/>
  <c r="L620" i="1" s="1"/>
  <c r="K620" i="1"/>
  <c r="K574" i="1"/>
  <c r="L984" i="1" a="1"/>
  <c r="L984" i="1" s="1"/>
  <c r="L531" i="1" a="1"/>
  <c r="L531" i="1" s="1"/>
  <c r="J881" i="1"/>
  <c r="J789" i="1"/>
  <c r="J472" i="1"/>
  <c r="J378" i="1"/>
  <c r="J162" i="1"/>
  <c r="K973" i="1"/>
  <c r="K925" i="1"/>
  <c r="K829" i="1"/>
  <c r="K781" i="1"/>
  <c r="K733" i="1"/>
  <c r="K685" i="1"/>
  <c r="K637" i="1"/>
  <c r="K589" i="1"/>
  <c r="K541" i="1"/>
  <c r="K493" i="1"/>
  <c r="K445" i="1"/>
  <c r="K397" i="1"/>
  <c r="L962" i="1" a="1"/>
  <c r="L962" i="1" s="1"/>
  <c r="L942" i="1" a="1"/>
  <c r="L942" i="1" s="1"/>
  <c r="L922" i="1" a="1"/>
  <c r="L922" i="1" s="1"/>
  <c r="L901" i="1" a="1"/>
  <c r="L901" i="1" s="1"/>
  <c r="L880" i="1" a="1"/>
  <c r="L880" i="1" s="1"/>
  <c r="L818" i="1" a="1"/>
  <c r="L818" i="1" s="1"/>
  <c r="L798" i="1" a="1"/>
  <c r="L798" i="1" s="1"/>
  <c r="L778" i="1" a="1"/>
  <c r="L778" i="1" s="1"/>
  <c r="L757" i="1" a="1"/>
  <c r="L757" i="1" s="1"/>
  <c r="L736" i="1" a="1"/>
  <c r="L736" i="1" s="1"/>
  <c r="L674" i="1" a="1"/>
  <c r="L674" i="1" s="1"/>
  <c r="L654" i="1" a="1"/>
  <c r="L654" i="1" s="1"/>
  <c r="L634" i="1" a="1"/>
  <c r="L634" i="1" s="1"/>
  <c r="L613" i="1" a="1"/>
  <c r="L613" i="1" s="1"/>
  <c r="L592" i="1" a="1"/>
  <c r="L592" i="1" s="1"/>
  <c r="L530" i="1" a="1"/>
  <c r="L530" i="1" s="1"/>
  <c r="L510" i="1" a="1"/>
  <c r="L510" i="1" s="1"/>
  <c r="L490" i="1" a="1"/>
  <c r="L490" i="1" s="1"/>
  <c r="L469" i="1" a="1"/>
  <c r="L469" i="1" s="1"/>
  <c r="L448" i="1" a="1"/>
  <c r="L448" i="1" s="1"/>
  <c r="L409" i="1" a="1"/>
  <c r="L409" i="1" s="1"/>
  <c r="L390" i="1" a="1"/>
  <c r="L390" i="1" s="1"/>
  <c r="L351" i="1" a="1"/>
  <c r="L351" i="1" s="1"/>
  <c r="L313" i="1" a="1"/>
  <c r="L313" i="1" s="1"/>
  <c r="L294" i="1" a="1"/>
  <c r="L294" i="1" s="1"/>
  <c r="L255" i="1" a="1"/>
  <c r="L255" i="1" s="1"/>
  <c r="L198" i="1" a="1"/>
  <c r="L198" i="1" s="1"/>
  <c r="L160" i="1" a="1"/>
  <c r="L160" i="1" s="1"/>
  <c r="L124" i="1" a="1"/>
  <c r="L124" i="1" s="1"/>
  <c r="L106" i="1" a="1"/>
  <c r="L106" i="1" s="1"/>
  <c r="L88" i="1" a="1"/>
  <c r="L88" i="1" s="1"/>
  <c r="L52" i="1" a="1"/>
  <c r="L52" i="1" s="1"/>
  <c r="L17" i="1" a="1"/>
  <c r="L17" i="1" s="1"/>
  <c r="J1001" i="1"/>
  <c r="J880" i="1"/>
  <c r="J471" i="1"/>
  <c r="L941" i="1" a="1"/>
  <c r="L941" i="1" s="1"/>
  <c r="L921" i="1" a="1"/>
  <c r="L921" i="1" s="1"/>
  <c r="L879" i="1" a="1"/>
  <c r="L879" i="1" s="1"/>
  <c r="L859" i="1" a="1"/>
  <c r="L859" i="1" s="1"/>
  <c r="L797" i="1" a="1"/>
  <c r="L797" i="1" s="1"/>
  <c r="L777" i="1" a="1"/>
  <c r="L777" i="1" s="1"/>
  <c r="L735" i="1" a="1"/>
  <c r="L735" i="1" s="1"/>
  <c r="L715" i="1" a="1"/>
  <c r="L715" i="1" s="1"/>
  <c r="L653" i="1" a="1"/>
  <c r="L653" i="1" s="1"/>
  <c r="L633" i="1" a="1"/>
  <c r="L633" i="1" s="1"/>
  <c r="L591" i="1" a="1"/>
  <c r="L591" i="1" s="1"/>
  <c r="L571" i="1" a="1"/>
  <c r="L571" i="1" s="1"/>
  <c r="L509" i="1" a="1"/>
  <c r="L509" i="1" s="1"/>
  <c r="L489" i="1" a="1"/>
  <c r="L489" i="1" s="1"/>
  <c r="L447" i="1" a="1"/>
  <c r="L447" i="1" s="1"/>
  <c r="L427" i="1" a="1"/>
  <c r="L427" i="1" s="1"/>
  <c r="L389" i="1" a="1"/>
  <c r="L389" i="1" s="1"/>
  <c r="L370" i="1" a="1"/>
  <c r="L370" i="1" s="1"/>
  <c r="L331" i="1" a="1"/>
  <c r="L331" i="1" s="1"/>
  <c r="L293" i="1" a="1"/>
  <c r="L293" i="1" s="1"/>
  <c r="L274" i="1" a="1"/>
  <c r="L274" i="1" s="1"/>
  <c r="L235" i="1" a="1"/>
  <c r="L235" i="1" s="1"/>
  <c r="L197" i="1" a="1"/>
  <c r="L197" i="1" s="1"/>
  <c r="L178" i="1" a="1"/>
  <c r="L178" i="1" s="1"/>
  <c r="L159" i="1" a="1"/>
  <c r="L159" i="1" s="1"/>
  <c r="L87" i="1" a="1"/>
  <c r="L87" i="1" s="1"/>
  <c r="L34" i="1" a="1"/>
  <c r="L34" i="1" s="1"/>
  <c r="L981" i="1" a="1"/>
  <c r="L981" i="1" s="1"/>
  <c r="L837" i="1" a="1"/>
  <c r="L837" i="1" s="1"/>
  <c r="L693" i="1" a="1"/>
  <c r="L693" i="1" s="1"/>
  <c r="L549" i="1" a="1"/>
  <c r="L549" i="1" s="1"/>
  <c r="L426" i="1" a="1"/>
  <c r="L426" i="1" s="1"/>
  <c r="L330" i="1" a="1"/>
  <c r="L330" i="1" s="1"/>
  <c r="L234" i="1" a="1"/>
  <c r="L234" i="1" s="1"/>
  <c r="L650" i="1" a="1"/>
  <c r="L650" i="1" s="1"/>
  <c r="L506" i="1" a="1"/>
  <c r="L506" i="1" s="1"/>
  <c r="L386" i="1" a="1"/>
  <c r="L386" i="1" s="1"/>
  <c r="L290" i="1" a="1"/>
  <c r="L290" i="1" s="1"/>
  <c r="L194" i="1" a="1"/>
  <c r="L194" i="1" s="1"/>
  <c r="L139" i="1" a="1"/>
  <c r="L139" i="1" s="1"/>
  <c r="L121" i="1" a="1"/>
  <c r="L121" i="1" s="1"/>
  <c r="L67" i="1" a="1"/>
  <c r="L67" i="1" s="1"/>
  <c r="L49" i="1" a="1"/>
  <c r="L49" i="1" s="1"/>
  <c r="J997" i="1"/>
  <c r="J781" i="1"/>
  <c r="J667" i="1"/>
  <c r="J546" i="1"/>
  <c r="J451" i="1"/>
  <c r="L999" i="1" a="1"/>
  <c r="L999" i="1" s="1"/>
  <c r="L979" i="1" a="1"/>
  <c r="L979" i="1" s="1"/>
  <c r="L917" i="1" a="1"/>
  <c r="L917" i="1" s="1"/>
  <c r="L897" i="1" a="1"/>
  <c r="L897" i="1" s="1"/>
  <c r="L855" i="1" a="1"/>
  <c r="L855" i="1" s="1"/>
  <c r="L835" i="1" a="1"/>
  <c r="L835" i="1" s="1"/>
  <c r="L773" i="1" a="1"/>
  <c r="L773" i="1" s="1"/>
  <c r="L753" i="1" a="1"/>
  <c r="L753" i="1" s="1"/>
  <c r="L711" i="1" a="1"/>
  <c r="L711" i="1" s="1"/>
  <c r="L691" i="1" a="1"/>
  <c r="L691" i="1" s="1"/>
  <c r="L629" i="1" a="1"/>
  <c r="L629" i="1" s="1"/>
  <c r="L609" i="1" a="1"/>
  <c r="L609" i="1" s="1"/>
  <c r="L567" i="1" a="1"/>
  <c r="L567" i="1" s="1"/>
  <c r="L547" i="1" a="1"/>
  <c r="L547" i="1" s="1"/>
  <c r="L485" i="1" a="1"/>
  <c r="L485" i="1" s="1"/>
  <c r="L465" i="1" a="1"/>
  <c r="L465" i="1" s="1"/>
  <c r="L424" i="1" a="1"/>
  <c r="L424" i="1" s="1"/>
  <c r="L405" i="1" a="1"/>
  <c r="L405" i="1" s="1"/>
  <c r="L328" i="1" a="1"/>
  <c r="L328" i="1" s="1"/>
  <c r="L309" i="1" a="1"/>
  <c r="L309" i="1" s="1"/>
  <c r="L232" i="1" a="1"/>
  <c r="L232" i="1" s="1"/>
  <c r="L213" i="1" a="1"/>
  <c r="L213" i="1" s="1"/>
  <c r="L957" i="1" a="1"/>
  <c r="L957" i="1" s="1"/>
  <c r="L525" i="1" a="1"/>
  <c r="L525" i="1" s="1"/>
  <c r="L403" i="1" a="1"/>
  <c r="L403" i="1" s="1"/>
  <c r="L307" i="1" a="1"/>
  <c r="L307" i="1" s="1"/>
  <c r="L211" i="1" a="1"/>
  <c r="L211" i="1" s="1"/>
  <c r="J759" i="1"/>
  <c r="J661" i="1"/>
  <c r="J542" i="1"/>
  <c r="J307" i="1"/>
  <c r="L997" i="1" a="1"/>
  <c r="L997" i="1" s="1"/>
  <c r="L976" i="1" a="1"/>
  <c r="L976" i="1" s="1"/>
  <c r="L914" i="1" a="1"/>
  <c r="L914" i="1" s="1"/>
  <c r="L894" i="1" a="1"/>
  <c r="L894" i="1" s="1"/>
  <c r="L874" i="1" a="1"/>
  <c r="L874" i="1" s="1"/>
  <c r="L853" i="1" a="1"/>
  <c r="L853" i="1" s="1"/>
  <c r="L832" i="1" a="1"/>
  <c r="L832" i="1" s="1"/>
  <c r="L770" i="1" a="1"/>
  <c r="L770" i="1" s="1"/>
  <c r="L750" i="1" a="1"/>
  <c r="L750" i="1" s="1"/>
  <c r="L730" i="1" a="1"/>
  <c r="L730" i="1" s="1"/>
  <c r="L709" i="1" a="1"/>
  <c r="L709" i="1" s="1"/>
  <c r="L688" i="1" a="1"/>
  <c r="L688" i="1" s="1"/>
  <c r="L626" i="1" a="1"/>
  <c r="L626" i="1" s="1"/>
  <c r="L606" i="1" a="1"/>
  <c r="L606" i="1" s="1"/>
  <c r="L586" i="1" a="1"/>
  <c r="L586" i="1" s="1"/>
  <c r="L565" i="1" a="1"/>
  <c r="L565" i="1" s="1"/>
  <c r="L544" i="1" a="1"/>
  <c r="L544" i="1" s="1"/>
  <c r="L482" i="1" a="1"/>
  <c r="L482" i="1" s="1"/>
  <c r="L462" i="1" a="1"/>
  <c r="L462" i="1" s="1"/>
  <c r="L442" i="1" a="1"/>
  <c r="L442" i="1" s="1"/>
  <c r="L364" i="1" a="1"/>
  <c r="L364" i="1" s="1"/>
  <c r="L345" i="1" a="1"/>
  <c r="L345" i="1" s="1"/>
  <c r="L268" i="1" a="1"/>
  <c r="L268" i="1" s="1"/>
  <c r="L249" i="1" a="1"/>
  <c r="L249" i="1" s="1"/>
  <c r="L172" i="1" a="1"/>
  <c r="L172" i="1" s="1"/>
  <c r="L154" i="1" a="1"/>
  <c r="L154" i="1" s="1"/>
  <c r="L136" i="1" a="1"/>
  <c r="L136" i="1" s="1"/>
  <c r="L100" i="1" a="1"/>
  <c r="L100" i="1" s="1"/>
  <c r="L82" i="1" a="1"/>
  <c r="L82" i="1" s="1"/>
  <c r="L64" i="1" a="1"/>
  <c r="L64" i="1" s="1"/>
  <c r="J837" i="1"/>
  <c r="J758" i="1"/>
  <c r="J541" i="1"/>
  <c r="J427" i="1"/>
  <c r="J306" i="1"/>
  <c r="J133" i="1"/>
  <c r="K955" i="1"/>
  <c r="K907" i="1"/>
  <c r="K859" i="1"/>
  <c r="K811" i="1"/>
  <c r="K763" i="1"/>
  <c r="K667" i="1"/>
  <c r="K619" i="1"/>
  <c r="K571" i="1"/>
  <c r="K523" i="1"/>
  <c r="K475" i="1"/>
  <c r="K379" i="1"/>
  <c r="K331" i="1"/>
  <c r="K283" i="1"/>
  <c r="K235" i="1"/>
  <c r="K187" i="1"/>
  <c r="K91" i="1"/>
  <c r="K43" i="1"/>
  <c r="L975" i="1" a="1"/>
  <c r="L975" i="1" s="1"/>
  <c r="L955" i="1" a="1"/>
  <c r="L955" i="1" s="1"/>
  <c r="L893" i="1" a="1"/>
  <c r="L893" i="1" s="1"/>
  <c r="L873" i="1" a="1"/>
  <c r="L873" i="1" s="1"/>
  <c r="L831" i="1" a="1"/>
  <c r="L831" i="1" s="1"/>
  <c r="L811" i="1" a="1"/>
  <c r="L811" i="1" s="1"/>
  <c r="L749" i="1" a="1"/>
  <c r="L749" i="1" s="1"/>
  <c r="L729" i="1" a="1"/>
  <c r="L729" i="1" s="1"/>
  <c r="L687" i="1" a="1"/>
  <c r="L687" i="1" s="1"/>
  <c r="L605" i="1" a="1"/>
  <c r="L605" i="1" s="1"/>
  <c r="L585" i="1" a="1"/>
  <c r="L585" i="1" s="1"/>
  <c r="L543" i="1" a="1"/>
  <c r="L543" i="1" s="1"/>
  <c r="L523" i="1" a="1"/>
  <c r="L523" i="1" s="1"/>
  <c r="L461" i="1" a="1"/>
  <c r="L461" i="1" s="1"/>
  <c r="L441" i="1" a="1"/>
  <c r="L441" i="1" s="1"/>
  <c r="L421" i="1" a="1"/>
  <c r="L421" i="1" s="1"/>
  <c r="L402" i="1" a="1"/>
  <c r="L402" i="1" s="1"/>
  <c r="L344" i="1" a="1"/>
  <c r="L344" i="1" s="1"/>
  <c r="L325" i="1" a="1"/>
  <c r="L325" i="1" s="1"/>
  <c r="L306" i="1" a="1"/>
  <c r="L306" i="1" s="1"/>
  <c r="L248" i="1" a="1"/>
  <c r="L248" i="1" s="1"/>
  <c r="L229" i="1" a="1"/>
  <c r="L229" i="1" s="1"/>
  <c r="L210" i="1" a="1"/>
  <c r="L210" i="1" s="1"/>
  <c r="L135" i="1" a="1"/>
  <c r="L135" i="1" s="1"/>
  <c r="L63" i="1" a="1"/>
  <c r="L63" i="1" s="1"/>
  <c r="L28" i="1" a="1"/>
  <c r="L28" i="1" s="1"/>
  <c r="J757" i="1"/>
  <c r="J639" i="1"/>
  <c r="J426" i="1"/>
  <c r="J305" i="1"/>
  <c r="K954" i="1"/>
  <c r="K906" i="1"/>
  <c r="K858" i="1"/>
  <c r="K810" i="1"/>
  <c r="K762" i="1"/>
  <c r="K714" i="1"/>
  <c r="K666" i="1"/>
  <c r="K618" i="1"/>
  <c r="K570" i="1"/>
  <c r="K522" i="1"/>
  <c r="K474" i="1"/>
  <c r="K330" i="1"/>
  <c r="K282" i="1"/>
  <c r="K234" i="1"/>
  <c r="K186" i="1"/>
  <c r="K90" i="1"/>
  <c r="K42" i="1"/>
  <c r="L974" i="1" a="1"/>
  <c r="L974" i="1" s="1"/>
  <c r="L913" i="1" a="1"/>
  <c r="L913" i="1" s="1"/>
  <c r="L892" i="1" a="1"/>
  <c r="L892" i="1" s="1"/>
  <c r="L872" i="1" a="1"/>
  <c r="L872" i="1" s="1"/>
  <c r="L810" i="1" a="1"/>
  <c r="L810" i="1" s="1"/>
  <c r="L769" i="1" a="1"/>
  <c r="L769" i="1" s="1"/>
  <c r="L748" i="1" a="1"/>
  <c r="L748" i="1" s="1"/>
  <c r="L728" i="1" a="1"/>
  <c r="L728" i="1" s="1"/>
  <c r="L686" i="1" a="1"/>
  <c r="L686" i="1" s="1"/>
  <c r="L625" i="1" a="1"/>
  <c r="L625" i="1" s="1"/>
  <c r="L604" i="1" a="1"/>
  <c r="L604" i="1" s="1"/>
  <c r="L584" i="1" a="1"/>
  <c r="L584" i="1" s="1"/>
  <c r="L522" i="1" a="1"/>
  <c r="L522" i="1" s="1"/>
  <c r="L481" i="1" a="1"/>
  <c r="L481" i="1" s="1"/>
  <c r="L460" i="1" a="1"/>
  <c r="L460" i="1" s="1"/>
  <c r="L440" i="1" a="1"/>
  <c r="L440" i="1" s="1"/>
  <c r="L401" i="1" a="1"/>
  <c r="L401" i="1" s="1"/>
  <c r="L362" i="1" a="1"/>
  <c r="L362" i="1" s="1"/>
  <c r="L343" i="1" a="1"/>
  <c r="L343" i="1" s="1"/>
  <c r="L305" i="1" a="1"/>
  <c r="L305" i="1" s="1"/>
  <c r="L266" i="1" a="1"/>
  <c r="L266" i="1" s="1"/>
  <c r="L247" i="1" a="1"/>
  <c r="L247" i="1" s="1"/>
  <c r="L209" i="1" a="1"/>
  <c r="L209" i="1" s="1"/>
  <c r="L170" i="1" a="1"/>
  <c r="L170" i="1" s="1"/>
  <c r="L153" i="1" a="1"/>
  <c r="L153" i="1" s="1"/>
  <c r="L134" i="1" a="1"/>
  <c r="L134" i="1" s="1"/>
  <c r="L117" i="1" a="1"/>
  <c r="L117" i="1" s="1"/>
  <c r="L98" i="1" a="1"/>
  <c r="L98" i="1" s="1"/>
  <c r="L81" i="1" a="1"/>
  <c r="L81" i="1" s="1"/>
  <c r="L45" i="1" a="1"/>
  <c r="L45" i="1" s="1"/>
  <c r="L10" i="1" a="1"/>
  <c r="L10" i="1" s="1"/>
  <c r="J835" i="1"/>
  <c r="J638" i="1"/>
  <c r="J517" i="1"/>
  <c r="J425" i="1"/>
  <c r="J304" i="1"/>
  <c r="J213" i="1"/>
  <c r="J97" i="1"/>
  <c r="K902" i="1"/>
  <c r="K854" i="1"/>
  <c r="K806" i="1"/>
  <c r="K758" i="1"/>
  <c r="K710" i="1"/>
  <c r="K614" i="1"/>
  <c r="K566" i="1"/>
  <c r="K518" i="1"/>
  <c r="K470" i="1"/>
  <c r="K374" i="1"/>
  <c r="K326" i="1"/>
  <c r="K278" i="1"/>
  <c r="K230" i="1"/>
  <c r="K182" i="1"/>
  <c r="K86" i="1"/>
  <c r="K38" i="1"/>
  <c r="L953" i="1" a="1"/>
  <c r="L953" i="1" s="1"/>
  <c r="L933" i="1" a="1"/>
  <c r="L933" i="1" s="1"/>
  <c r="L871" i="1" a="1"/>
  <c r="L871" i="1" s="1"/>
  <c r="L809" i="1" a="1"/>
  <c r="L809" i="1" s="1"/>
  <c r="L789" i="1" a="1"/>
  <c r="L789" i="1" s="1"/>
  <c r="L727" i="1" a="1"/>
  <c r="L727" i="1" s="1"/>
  <c r="L665" i="1" a="1"/>
  <c r="L665" i="1" s="1"/>
  <c r="L645" i="1" a="1"/>
  <c r="L645" i="1" s="1"/>
  <c r="L583" i="1" a="1"/>
  <c r="L583" i="1" s="1"/>
  <c r="L521" i="1" a="1"/>
  <c r="L521" i="1" s="1"/>
  <c r="L501" i="1" a="1"/>
  <c r="L501" i="1" s="1"/>
  <c r="L439" i="1" a="1"/>
  <c r="L439" i="1" s="1"/>
  <c r="L400" i="1" a="1"/>
  <c r="L400" i="1" s="1"/>
  <c r="L381" i="1" a="1"/>
  <c r="L381" i="1" s="1"/>
  <c r="L304" i="1" a="1"/>
  <c r="L304" i="1" s="1"/>
  <c r="L285" i="1" a="1"/>
  <c r="L285" i="1" s="1"/>
  <c r="L208" i="1" a="1"/>
  <c r="L208" i="1" s="1"/>
  <c r="L189" i="1" a="1"/>
  <c r="L189" i="1" s="1"/>
  <c r="L152" i="1" a="1"/>
  <c r="L152" i="1" s="1"/>
  <c r="L80" i="1" a="1"/>
  <c r="L80" i="1" s="1"/>
  <c r="L26" i="1" a="1"/>
  <c r="L26" i="1" s="1"/>
  <c r="J834" i="1"/>
  <c r="J739" i="1"/>
  <c r="J637" i="1"/>
  <c r="J424" i="1"/>
  <c r="J303" i="1"/>
  <c r="K949" i="1"/>
  <c r="K901" i="1"/>
  <c r="K853" i="1"/>
  <c r="K805" i="1"/>
  <c r="K709" i="1"/>
  <c r="K661" i="1"/>
  <c r="K613" i="1"/>
  <c r="K565" i="1"/>
  <c r="K517" i="1"/>
  <c r="K373" i="1"/>
  <c r="K325" i="1"/>
  <c r="K277" i="1"/>
  <c r="K181" i="1"/>
  <c r="K133" i="1"/>
  <c r="K85" i="1"/>
  <c r="K37" i="1"/>
  <c r="L994" i="1" a="1"/>
  <c r="L994" i="1" s="1"/>
  <c r="L973" i="1" a="1"/>
  <c r="L973" i="1" s="1"/>
  <c r="L952" i="1" a="1"/>
  <c r="L952" i="1" s="1"/>
  <c r="L890" i="1" a="1"/>
  <c r="L890" i="1" s="1"/>
  <c r="L870" i="1" a="1"/>
  <c r="L870" i="1" s="1"/>
  <c r="L850" i="1" a="1"/>
  <c r="L850" i="1" s="1"/>
  <c r="L829" i="1" a="1"/>
  <c r="L829" i="1" s="1"/>
  <c r="L808" i="1" a="1"/>
  <c r="L808" i="1" s="1"/>
  <c r="L746" i="1" a="1"/>
  <c r="L746" i="1" s="1"/>
  <c r="L726" i="1" a="1"/>
  <c r="L726" i="1" s="1"/>
  <c r="L706" i="1" a="1"/>
  <c r="L706" i="1" s="1"/>
  <c r="L685" i="1" a="1"/>
  <c r="L685" i="1" s="1"/>
  <c r="L664" i="1" a="1"/>
  <c r="L664" i="1" s="1"/>
  <c r="L602" i="1" a="1"/>
  <c r="L602" i="1" s="1"/>
  <c r="L582" i="1" a="1"/>
  <c r="L582" i="1" s="1"/>
  <c r="L562" i="1" a="1"/>
  <c r="L562" i="1" s="1"/>
  <c r="L520" i="1" a="1"/>
  <c r="L520" i="1" s="1"/>
  <c r="L458" i="1" a="1"/>
  <c r="L458" i="1" s="1"/>
  <c r="L438" i="1" a="1"/>
  <c r="L438" i="1" s="1"/>
  <c r="L399" i="1" a="1"/>
  <c r="L399" i="1" s="1"/>
  <c r="L361" i="1" a="1"/>
  <c r="L361" i="1" s="1"/>
  <c r="L342" i="1" a="1"/>
  <c r="L342" i="1" s="1"/>
  <c r="L303" i="1" a="1"/>
  <c r="L303" i="1" s="1"/>
  <c r="L265" i="1" a="1"/>
  <c r="L265" i="1" s="1"/>
  <c r="L246" i="1" a="1"/>
  <c r="L246" i="1" s="1"/>
  <c r="L207" i="1" a="1"/>
  <c r="L207" i="1" s="1"/>
  <c r="L169" i="1" a="1"/>
  <c r="L169" i="1" s="1"/>
  <c r="L151" i="1" a="1"/>
  <c r="L151" i="1" s="1"/>
  <c r="L115" i="1" a="1"/>
  <c r="L115" i="1" s="1"/>
  <c r="L79" i="1" a="1"/>
  <c r="L79" i="1" s="1"/>
  <c r="L43" i="1" a="1"/>
  <c r="L43" i="1" s="1"/>
  <c r="L9" i="1" a="1"/>
  <c r="L9" i="1" s="1"/>
  <c r="J832" i="1"/>
  <c r="J423" i="1"/>
  <c r="J302" i="1"/>
  <c r="J211" i="1"/>
  <c r="L993" i="1" a="1"/>
  <c r="L993" i="1" s="1"/>
  <c r="L951" i="1" a="1"/>
  <c r="L951" i="1" s="1"/>
  <c r="L931" i="1" a="1"/>
  <c r="L931" i="1" s="1"/>
  <c r="L869" i="1" a="1"/>
  <c r="L869" i="1" s="1"/>
  <c r="L849" i="1" a="1"/>
  <c r="L849" i="1" s="1"/>
  <c r="L807" i="1" a="1"/>
  <c r="L807" i="1" s="1"/>
  <c r="L787" i="1" a="1"/>
  <c r="L787" i="1" s="1"/>
  <c r="L725" i="1" a="1"/>
  <c r="L725" i="1" s="1"/>
  <c r="L705" i="1" a="1"/>
  <c r="L705" i="1" s="1"/>
  <c r="L663" i="1" a="1"/>
  <c r="L663" i="1" s="1"/>
  <c r="L643" i="1" a="1"/>
  <c r="L643" i="1" s="1"/>
  <c r="L581" i="1" a="1"/>
  <c r="L581" i="1" s="1"/>
  <c r="L561" i="1" a="1"/>
  <c r="L561" i="1" s="1"/>
  <c r="L519" i="1" a="1"/>
  <c r="L519" i="1" s="1"/>
  <c r="L499" i="1" a="1"/>
  <c r="L499" i="1" s="1"/>
  <c r="L437" i="1" a="1"/>
  <c r="L437" i="1" s="1"/>
  <c r="L418" i="1" a="1"/>
  <c r="L418" i="1" s="1"/>
  <c r="L398" i="1" a="1"/>
  <c r="L398" i="1" s="1"/>
  <c r="L341" i="1" a="1"/>
  <c r="L341" i="1" s="1"/>
  <c r="L322" i="1" a="1"/>
  <c r="L322" i="1" s="1"/>
  <c r="L283" i="1" a="1"/>
  <c r="L283" i="1" s="1"/>
  <c r="L245" i="1" a="1"/>
  <c r="L245" i="1" s="1"/>
  <c r="L226" i="1" a="1"/>
  <c r="L226" i="1" s="1"/>
  <c r="L187" i="1" a="1"/>
  <c r="L187" i="1" s="1"/>
  <c r="L25" i="1" a="1"/>
  <c r="L25" i="1" s="1"/>
  <c r="L8" i="1" a="1"/>
  <c r="L8" i="1" s="1"/>
  <c r="L114" i="1" a="1"/>
  <c r="L114" i="1" s="1"/>
  <c r="L42" i="1" a="1"/>
  <c r="L42" i="1" s="1"/>
  <c r="L186" i="1" a="1"/>
  <c r="L186" i="1" s="1"/>
  <c r="J949" i="1"/>
  <c r="J593" i="1"/>
  <c r="L990" i="1" a="1"/>
  <c r="L990" i="1" s="1"/>
  <c r="L970" i="1" a="1"/>
  <c r="L970" i="1" s="1"/>
  <c r="L928" i="1" a="1"/>
  <c r="L928" i="1" s="1"/>
  <c r="L866" i="1" a="1"/>
  <c r="L866" i="1" s="1"/>
  <c r="L846" i="1" a="1"/>
  <c r="L846" i="1" s="1"/>
  <c r="L826" i="1" a="1"/>
  <c r="L826" i="1" s="1"/>
  <c r="L805" i="1" a="1"/>
  <c r="L805" i="1" s="1"/>
  <c r="L784" i="1" a="1"/>
  <c r="L784" i="1" s="1"/>
  <c r="L722" i="1" a="1"/>
  <c r="L722" i="1" s="1"/>
  <c r="L702" i="1" a="1"/>
  <c r="L702" i="1" s="1"/>
  <c r="L682" i="1" a="1"/>
  <c r="L682" i="1" s="1"/>
  <c r="L640" i="1" a="1"/>
  <c r="L640" i="1" s="1"/>
  <c r="L578" i="1" a="1"/>
  <c r="L578" i="1" s="1"/>
  <c r="L558" i="1" a="1"/>
  <c r="L558" i="1" s="1"/>
  <c r="L538" i="1" a="1"/>
  <c r="L538" i="1" s="1"/>
  <c r="L496" i="1" a="1"/>
  <c r="L496" i="1" s="1"/>
  <c r="L434" i="1" a="1"/>
  <c r="L434" i="1" s="1"/>
  <c r="L415" i="1" a="1"/>
  <c r="L415" i="1" s="1"/>
  <c r="L377" i="1" a="1"/>
  <c r="L377" i="1" s="1"/>
  <c r="L338" i="1" a="1"/>
  <c r="L338" i="1" s="1"/>
  <c r="L319" i="1" a="1"/>
  <c r="L319" i="1" s="1"/>
  <c r="L281" i="1" a="1"/>
  <c r="L281" i="1" s="1"/>
  <c r="L242" i="1" a="1"/>
  <c r="L242" i="1" s="1"/>
  <c r="L223" i="1" a="1"/>
  <c r="L223" i="1" s="1"/>
  <c r="L185" i="1" a="1"/>
  <c r="L185" i="1" s="1"/>
  <c r="L148" i="1" a="1"/>
  <c r="L148" i="1" s="1"/>
  <c r="L130" i="1" a="1"/>
  <c r="L130" i="1" s="1"/>
  <c r="L112" i="1" a="1"/>
  <c r="L112" i="1" s="1"/>
  <c r="L76" i="1" a="1"/>
  <c r="L76" i="1" s="1"/>
  <c r="L58" i="1" a="1"/>
  <c r="L58" i="1" s="1"/>
  <c r="J713" i="1"/>
  <c r="J592" i="1"/>
  <c r="J501" i="1"/>
  <c r="J185" i="1"/>
  <c r="J91" i="1"/>
  <c r="L989" i="1" a="1"/>
  <c r="L989" i="1" s="1"/>
  <c r="L969" i="1" a="1"/>
  <c r="L969" i="1" s="1"/>
  <c r="L927" i="1" a="1"/>
  <c r="L927" i="1" s="1"/>
  <c r="L907" i="1" a="1"/>
  <c r="L907" i="1" s="1"/>
  <c r="L845" i="1" a="1"/>
  <c r="L845" i="1" s="1"/>
  <c r="L825" i="1" a="1"/>
  <c r="L825" i="1" s="1"/>
  <c r="L783" i="1" a="1"/>
  <c r="L783" i="1" s="1"/>
  <c r="L763" i="1" a="1"/>
  <c r="L763" i="1" s="1"/>
  <c r="L701" i="1" a="1"/>
  <c r="L701" i="1" s="1"/>
  <c r="L681" i="1" a="1"/>
  <c r="L681" i="1" s="1"/>
  <c r="L639" i="1" a="1"/>
  <c r="L639" i="1" s="1"/>
  <c r="L619" i="1" a="1"/>
  <c r="L619" i="1" s="1"/>
  <c r="L557" i="1" a="1"/>
  <c r="L557" i="1" s="1"/>
  <c r="L537" i="1" a="1"/>
  <c r="L537" i="1" s="1"/>
  <c r="L495" i="1" a="1"/>
  <c r="L495" i="1" s="1"/>
  <c r="L475" i="1" a="1"/>
  <c r="L475" i="1" s="1"/>
  <c r="L376" i="1" a="1"/>
  <c r="L376" i="1" s="1"/>
  <c r="L357" i="1" a="1"/>
  <c r="L357" i="1" s="1"/>
  <c r="L280" i="1" a="1"/>
  <c r="L280" i="1" s="1"/>
  <c r="L261" i="1" a="1"/>
  <c r="L261" i="1" s="1"/>
  <c r="L184" i="1" a="1"/>
  <c r="L184" i="1" s="1"/>
  <c r="L111" i="1" a="1"/>
  <c r="L111" i="1" s="1"/>
  <c r="L40" i="1" a="1"/>
  <c r="L40" i="1" s="1"/>
  <c r="L6" i="1" a="1"/>
  <c r="L6" i="1" s="1"/>
  <c r="J927" i="1"/>
  <c r="J712" i="1"/>
  <c r="J591" i="1"/>
  <c r="J184" i="1"/>
  <c r="J90" i="1"/>
  <c r="L988" i="1" a="1"/>
  <c r="L988" i="1" s="1"/>
  <c r="L968" i="1" a="1"/>
  <c r="L968" i="1" s="1"/>
  <c r="L926" i="1" a="1"/>
  <c r="L926" i="1" s="1"/>
  <c r="L906" i="1" a="1"/>
  <c r="L906" i="1" s="1"/>
  <c r="L865" i="1" a="1"/>
  <c r="L865" i="1" s="1"/>
  <c r="L844" i="1" a="1"/>
  <c r="L844" i="1" s="1"/>
  <c r="L824" i="1" a="1"/>
  <c r="L824" i="1" s="1"/>
  <c r="L762" i="1" a="1"/>
  <c r="L762" i="1" s="1"/>
  <c r="L721" i="1" a="1"/>
  <c r="L721" i="1" s="1"/>
  <c r="L700" i="1" a="1"/>
  <c r="L700" i="1" s="1"/>
  <c r="L680" i="1" a="1"/>
  <c r="L680" i="1" s="1"/>
  <c r="L618" i="1" a="1"/>
  <c r="L618" i="1" s="1"/>
  <c r="L577" i="1" a="1"/>
  <c r="L577" i="1" s="1"/>
  <c r="L556" i="1" a="1"/>
  <c r="L556" i="1" s="1"/>
  <c r="L536" i="1" a="1"/>
  <c r="L536" i="1" s="1"/>
  <c r="L494" i="1" a="1"/>
  <c r="L494" i="1" s="1"/>
  <c r="L474" i="1" a="1"/>
  <c r="L474" i="1" s="1"/>
  <c r="L433" i="1" a="1"/>
  <c r="L433" i="1" s="1"/>
  <c r="L414" i="1" a="1"/>
  <c r="L414" i="1" s="1"/>
  <c r="L375" i="1" a="1"/>
  <c r="L375" i="1" s="1"/>
  <c r="L337" i="1" a="1"/>
  <c r="L337" i="1" s="1"/>
  <c r="L318" i="1" a="1"/>
  <c r="L318" i="1" s="1"/>
  <c r="L279" i="1" a="1"/>
  <c r="L279" i="1" s="1"/>
  <c r="L241" i="1" a="1"/>
  <c r="L241" i="1" s="1"/>
  <c r="L222" i="1" a="1"/>
  <c r="L222" i="1" s="1"/>
  <c r="L183" i="1" a="1"/>
  <c r="L183" i="1" s="1"/>
  <c r="L165" i="1" a="1"/>
  <c r="L165" i="1" s="1"/>
  <c r="L146" i="1" a="1"/>
  <c r="L146" i="1" s="1"/>
  <c r="L129" i="1" a="1"/>
  <c r="L129" i="1" s="1"/>
  <c r="L110" i="1" a="1"/>
  <c r="L110" i="1" s="1"/>
  <c r="L74" i="1" a="1"/>
  <c r="L74" i="1" s="1"/>
  <c r="L57" i="1" a="1"/>
  <c r="L57" i="1" s="1"/>
  <c r="L39" i="1" a="1"/>
  <c r="L39" i="1" s="1"/>
  <c r="L5" i="1" a="1"/>
  <c r="L5" i="1" s="1"/>
  <c r="J711" i="1"/>
  <c r="J499" i="1"/>
  <c r="J183" i="1"/>
  <c r="K981" i="1"/>
  <c r="K933" i="1"/>
  <c r="K885" i="1"/>
  <c r="K741" i="1"/>
  <c r="K693" i="1"/>
  <c r="K645" i="1"/>
  <c r="K597" i="1"/>
  <c r="K453" i="1"/>
  <c r="K405" i="1"/>
  <c r="K357" i="1"/>
  <c r="K309" i="1"/>
  <c r="K261" i="1"/>
  <c r="K165" i="1"/>
  <c r="K117" i="1"/>
  <c r="K69" i="1"/>
  <c r="K21" i="1"/>
  <c r="L967" i="1" a="1"/>
  <c r="L967" i="1" s="1"/>
  <c r="L905" i="1" a="1"/>
  <c r="L905" i="1" s="1"/>
  <c r="L885" i="1" a="1"/>
  <c r="L885" i="1" s="1"/>
  <c r="L823" i="1" a="1"/>
  <c r="L823" i="1" s="1"/>
  <c r="L761" i="1" a="1"/>
  <c r="L761" i="1" s="1"/>
  <c r="L741" i="1" a="1"/>
  <c r="L741" i="1" s="1"/>
  <c r="L679" i="1" a="1"/>
  <c r="L679" i="1" s="1"/>
  <c r="L617" i="1" a="1"/>
  <c r="L617" i="1" s="1"/>
  <c r="L597" i="1" a="1"/>
  <c r="L597" i="1" s="1"/>
  <c r="L535" i="1" a="1"/>
  <c r="L535" i="1" s="1"/>
  <c r="L473" i="1" a="1"/>
  <c r="L473" i="1" s="1"/>
  <c r="L453" i="1" a="1"/>
  <c r="L453" i="1" s="1"/>
  <c r="L413" i="1" a="1"/>
  <c r="L413" i="1" s="1"/>
  <c r="L394" i="1" a="1"/>
  <c r="L394" i="1" s="1"/>
  <c r="L355" i="1" a="1"/>
  <c r="L355" i="1" s="1"/>
  <c r="L317" i="1" a="1"/>
  <c r="L317" i="1" s="1"/>
  <c r="L298" i="1" a="1"/>
  <c r="L298" i="1" s="1"/>
  <c r="L278" i="1" a="1"/>
  <c r="L278" i="1" s="1"/>
  <c r="L259" i="1" a="1"/>
  <c r="L259" i="1" s="1"/>
  <c r="L221" i="1" a="1"/>
  <c r="L221" i="1" s="1"/>
  <c r="L202" i="1" a="1"/>
  <c r="L202" i="1" s="1"/>
  <c r="L182" i="1" a="1"/>
  <c r="L182" i="1" s="1"/>
  <c r="L128" i="1" a="1"/>
  <c r="L128" i="1" s="1"/>
  <c r="L56" i="1" a="1"/>
  <c r="L56" i="1" s="1"/>
  <c r="L38" i="1" a="1"/>
  <c r="L38" i="1" s="1"/>
  <c r="L21" i="1" a="1"/>
  <c r="L21" i="1" s="1"/>
  <c r="J925" i="1"/>
  <c r="J495" i="1"/>
  <c r="L986" i="1" a="1"/>
  <c r="L986" i="1" s="1"/>
  <c r="L966" i="1" a="1"/>
  <c r="L966" i="1" s="1"/>
  <c r="L946" i="1" a="1"/>
  <c r="L946" i="1" s="1"/>
  <c r="L904" i="1" a="1"/>
  <c r="L904" i="1" s="1"/>
  <c r="L842" i="1" a="1"/>
  <c r="L842" i="1" s="1"/>
  <c r="L822" i="1" a="1"/>
  <c r="L822" i="1" s="1"/>
  <c r="L802" i="1" a="1"/>
  <c r="L802" i="1" s="1"/>
  <c r="L760" i="1" a="1"/>
  <c r="L760" i="1" s="1"/>
  <c r="L698" i="1" a="1"/>
  <c r="L698" i="1" s="1"/>
  <c r="L678" i="1" a="1"/>
  <c r="L678" i="1" s="1"/>
  <c r="L658" i="1" a="1"/>
  <c r="L658" i="1" s="1"/>
  <c r="L616" i="1" a="1"/>
  <c r="L616" i="1" s="1"/>
  <c r="L554" i="1" a="1"/>
  <c r="L554" i="1" s="1"/>
  <c r="L534" i="1" a="1"/>
  <c r="L534" i="1" s="1"/>
  <c r="L514" i="1" a="1"/>
  <c r="L514" i="1" s="1"/>
  <c r="L493" i="1" a="1"/>
  <c r="L493" i="1" s="1"/>
  <c r="L472" i="1" a="1"/>
  <c r="L472" i="1" s="1"/>
  <c r="L412" i="1" a="1"/>
  <c r="L412" i="1" s="1"/>
  <c r="L393" i="1" a="1"/>
  <c r="L393" i="1" s="1"/>
  <c r="L316" i="1" a="1"/>
  <c r="L316" i="1" s="1"/>
  <c r="L297" i="1" a="1"/>
  <c r="L297" i="1" s="1"/>
  <c r="L220" i="1" a="1"/>
  <c r="L220" i="1" s="1"/>
  <c r="L201" i="1" a="1"/>
  <c r="L201" i="1" s="1"/>
  <c r="L163" i="1" a="1"/>
  <c r="L163" i="1" s="1"/>
  <c r="L145" i="1" a="1"/>
  <c r="L145" i="1" s="1"/>
  <c r="L127" i="1" a="1"/>
  <c r="L127" i="1" s="1"/>
  <c r="L109" i="1" a="1"/>
  <c r="L109" i="1" s="1"/>
  <c r="L73" i="1" a="1"/>
  <c r="L73" i="1" s="1"/>
  <c r="L55" i="1" a="1"/>
  <c r="L55" i="1" s="1"/>
  <c r="L4" i="1" a="1"/>
  <c r="L4" i="1" s="1"/>
  <c r="J181" i="1"/>
  <c r="K979" i="1"/>
  <c r="K931" i="1"/>
  <c r="K883" i="1"/>
  <c r="K739" i="1"/>
  <c r="K691" i="1"/>
  <c r="K643" i="1"/>
  <c r="K595" i="1"/>
  <c r="K451" i="1"/>
  <c r="K403" i="1"/>
  <c r="K355" i="1"/>
  <c r="K259" i="1"/>
  <c r="K115" i="1"/>
  <c r="K67" i="1"/>
  <c r="K19" i="1"/>
  <c r="L965" i="1" a="1"/>
  <c r="L965" i="1" s="1"/>
  <c r="L945" i="1" a="1"/>
  <c r="L945" i="1" s="1"/>
  <c r="L903" i="1" a="1"/>
  <c r="L903" i="1" s="1"/>
  <c r="L883" i="1" a="1"/>
  <c r="L883" i="1" s="1"/>
  <c r="L821" i="1" a="1"/>
  <c r="L821" i="1" s="1"/>
  <c r="L801" i="1" a="1"/>
  <c r="L801" i="1" s="1"/>
  <c r="L759" i="1" a="1"/>
  <c r="L759" i="1" s="1"/>
  <c r="L677" i="1" a="1"/>
  <c r="L677" i="1" s="1"/>
  <c r="L657" i="1" a="1"/>
  <c r="L657" i="1" s="1"/>
  <c r="L615" i="1" a="1"/>
  <c r="L615" i="1" s="1"/>
  <c r="L533" i="1" a="1"/>
  <c r="L533" i="1" s="1"/>
  <c r="L513" i="1" a="1"/>
  <c r="L513" i="1" s="1"/>
  <c r="L471" i="1" a="1"/>
  <c r="L471" i="1" s="1"/>
  <c r="L392" i="1" a="1"/>
  <c r="L392" i="1" s="1"/>
  <c r="L354" i="1" a="1"/>
  <c r="L354" i="1" s="1"/>
  <c r="L296" i="1" a="1"/>
  <c r="L296" i="1" s="1"/>
  <c r="L277" i="1" a="1"/>
  <c r="L277" i="1" s="1"/>
  <c r="L258" i="1" a="1"/>
  <c r="L258" i="1" s="1"/>
  <c r="L200" i="1" a="1"/>
  <c r="L200" i="1" s="1"/>
  <c r="L37" i="1" a="1"/>
  <c r="L37" i="1" s="1"/>
  <c r="J63" i="1"/>
  <c r="K978" i="1"/>
  <c r="K930" i="1"/>
  <c r="K882" i="1"/>
  <c r="K786" i="1"/>
  <c r="K738" i="1"/>
  <c r="K690" i="1"/>
  <c r="K642" i="1"/>
  <c r="K594" i="1"/>
  <c r="K498" i="1"/>
  <c r="K450" i="1"/>
  <c r="K402" i="1"/>
  <c r="K354" i="1"/>
  <c r="K210" i="1"/>
  <c r="K162" i="1"/>
  <c r="K114" i="1"/>
  <c r="K66" i="1"/>
  <c r="L985" i="1" a="1"/>
  <c r="L985" i="1" s="1"/>
  <c r="L964" i="1" a="1"/>
  <c r="L964" i="1" s="1"/>
  <c r="L944" i="1" a="1"/>
  <c r="L944" i="1" s="1"/>
  <c r="L902" i="1" a="1"/>
  <c r="L902" i="1" s="1"/>
  <c r="L841" i="1" a="1"/>
  <c r="L841" i="1" s="1"/>
  <c r="L820" i="1" a="1"/>
  <c r="L820" i="1" s="1"/>
  <c r="L800" i="1" a="1"/>
  <c r="L800" i="1" s="1"/>
  <c r="L738" i="1" a="1"/>
  <c r="L738" i="1" s="1"/>
  <c r="L697" i="1" a="1"/>
  <c r="L697" i="1" s="1"/>
  <c r="L676" i="1" a="1"/>
  <c r="L676" i="1" s="1"/>
  <c r="L656" i="1" a="1"/>
  <c r="L656" i="1" s="1"/>
  <c r="L614" i="1" a="1"/>
  <c r="L614" i="1" s="1"/>
  <c r="L553" i="1" a="1"/>
  <c r="L553" i="1" s="1"/>
  <c r="L532" i="1" a="1"/>
  <c r="L532" i="1" s="1"/>
  <c r="L512" i="1" a="1"/>
  <c r="L512" i="1" s="1"/>
  <c r="L410" i="1" a="1"/>
  <c r="L410" i="1" s="1"/>
  <c r="L391" i="1" a="1"/>
  <c r="L391" i="1" s="1"/>
  <c r="L353" i="1" a="1"/>
  <c r="L353" i="1" s="1"/>
  <c r="L314" i="1" a="1"/>
  <c r="L314" i="1" s="1"/>
  <c r="L295" i="1" a="1"/>
  <c r="L295" i="1" s="1"/>
  <c r="L257" i="1" a="1"/>
  <c r="L257" i="1" s="1"/>
  <c r="L218" i="1" a="1"/>
  <c r="L218" i="1" s="1"/>
  <c r="L199" i="1" a="1"/>
  <c r="L199" i="1" s="1"/>
  <c r="L126" i="1" a="1"/>
  <c r="L126" i="1" s="1"/>
  <c r="L54" i="1" a="1"/>
  <c r="L54" i="1" s="1"/>
  <c r="L2" i="1" a="1"/>
  <c r="L2" i="1" s="1"/>
  <c r="J833" i="1"/>
  <c r="J545" i="1"/>
  <c r="J257" i="1"/>
  <c r="J953" i="1"/>
  <c r="J665" i="1"/>
  <c r="J377" i="1"/>
  <c r="J89" i="1"/>
  <c r="K977" i="1"/>
  <c r="K929" i="1"/>
  <c r="K905" i="1"/>
  <c r="K857" i="1"/>
  <c r="K809" i="1"/>
  <c r="K785" i="1"/>
  <c r="K737" i="1"/>
  <c r="K689" i="1"/>
  <c r="K641" i="1"/>
  <c r="K617" i="1"/>
  <c r="K569" i="1"/>
  <c r="K521" i="1"/>
  <c r="K497" i="1"/>
  <c r="K449" i="1"/>
  <c r="K401" i="1"/>
  <c r="K353" i="1"/>
  <c r="K329" i="1"/>
  <c r="K281" i="1"/>
  <c r="K233" i="1"/>
  <c r="K209" i="1"/>
  <c r="K161" i="1"/>
  <c r="K113" i="1"/>
  <c r="K65" i="1"/>
  <c r="K41" i="1"/>
  <c r="J952" i="1"/>
  <c r="J664" i="1"/>
  <c r="J376" i="1"/>
  <c r="J88" i="1"/>
  <c r="K976" i="1"/>
  <c r="K928" i="1"/>
  <c r="K904" i="1"/>
  <c r="K856" i="1"/>
  <c r="K808" i="1"/>
  <c r="K784" i="1"/>
  <c r="K736" i="1"/>
  <c r="K688" i="1"/>
  <c r="K640" i="1"/>
  <c r="K616" i="1"/>
  <c r="K568" i="1"/>
  <c r="K520" i="1"/>
  <c r="K496" i="1"/>
  <c r="K448" i="1"/>
  <c r="K400" i="1"/>
  <c r="K352" i="1"/>
  <c r="K328" i="1"/>
  <c r="K280" i="1"/>
  <c r="K232" i="1"/>
  <c r="K208" i="1"/>
  <c r="K160" i="1"/>
  <c r="K112" i="1"/>
  <c r="K64" i="1"/>
  <c r="K40" i="1"/>
  <c r="J951" i="1"/>
  <c r="J663" i="1"/>
  <c r="J375" i="1"/>
  <c r="J87" i="1"/>
  <c r="K975" i="1"/>
  <c r="K903" i="1"/>
  <c r="K855" i="1"/>
  <c r="K807" i="1"/>
  <c r="K735" i="1"/>
  <c r="K687" i="1"/>
  <c r="K615" i="1"/>
  <c r="K567" i="1"/>
  <c r="K519" i="1"/>
  <c r="K447" i="1"/>
  <c r="K399" i="1"/>
  <c r="K327" i="1"/>
  <c r="K279" i="1"/>
  <c r="K231" i="1"/>
  <c r="K159" i="1"/>
  <c r="K111" i="1"/>
  <c r="K39" i="1"/>
  <c r="K994" i="1"/>
  <c r="K970" i="1"/>
  <c r="K946" i="1"/>
  <c r="K922" i="1"/>
  <c r="K898" i="1"/>
  <c r="K874" i="1"/>
  <c r="K850" i="1"/>
  <c r="K826" i="1"/>
  <c r="K802" i="1"/>
  <c r="K778" i="1"/>
  <c r="K754" i="1"/>
  <c r="K730" i="1"/>
  <c r="K706" i="1"/>
  <c r="K682" i="1"/>
  <c r="K658" i="1"/>
  <c r="K634" i="1"/>
  <c r="K610" i="1"/>
  <c r="K586" i="1"/>
  <c r="K562" i="1"/>
  <c r="K538" i="1"/>
  <c r="K514" i="1"/>
  <c r="K490" i="1"/>
  <c r="K466" i="1"/>
  <c r="K442" i="1"/>
  <c r="K418" i="1"/>
  <c r="K394" i="1"/>
  <c r="K370" i="1"/>
  <c r="K346" i="1"/>
  <c r="K322" i="1"/>
  <c r="K298" i="1"/>
  <c r="K274" i="1"/>
  <c r="K250" i="1"/>
  <c r="K226" i="1"/>
  <c r="K202" i="1"/>
  <c r="K178" i="1"/>
  <c r="K154" i="1"/>
  <c r="K130" i="1"/>
  <c r="K106" i="1"/>
  <c r="K82" i="1"/>
  <c r="K58" i="1"/>
  <c r="K34" i="1"/>
  <c r="K10" i="1"/>
  <c r="K993" i="1"/>
  <c r="K969" i="1"/>
  <c r="K945" i="1"/>
  <c r="K921" i="1"/>
  <c r="K897" i="1"/>
  <c r="K873" i="1"/>
  <c r="K849" i="1"/>
  <c r="K825" i="1"/>
  <c r="K801" i="1"/>
  <c r="K777" i="1"/>
  <c r="K753" i="1"/>
  <c r="K729" i="1"/>
  <c r="K705" i="1"/>
  <c r="K681" i="1"/>
  <c r="K657" i="1"/>
  <c r="K633" i="1"/>
  <c r="K609" i="1"/>
  <c r="K585" i="1"/>
  <c r="K561" i="1"/>
  <c r="K537" i="1"/>
  <c r="K513" i="1"/>
  <c r="K489" i="1"/>
  <c r="K465" i="1"/>
  <c r="K441" i="1"/>
  <c r="K417" i="1"/>
  <c r="K393" i="1"/>
  <c r="K369" i="1"/>
  <c r="K345" i="1"/>
  <c r="K321" i="1"/>
  <c r="K297" i="1"/>
  <c r="K273" i="1"/>
  <c r="K249" i="1"/>
  <c r="K225" i="1"/>
  <c r="K201" i="1"/>
  <c r="K177" i="1"/>
  <c r="K153" i="1"/>
  <c r="K129" i="1"/>
  <c r="K105" i="1"/>
  <c r="K81" i="1"/>
  <c r="K57" i="1"/>
  <c r="K33" i="1"/>
  <c r="K9" i="1"/>
  <c r="K992" i="1"/>
  <c r="K968" i="1"/>
  <c r="K944" i="1"/>
  <c r="K920" i="1"/>
  <c r="K896" i="1"/>
  <c r="K872" i="1"/>
  <c r="K848" i="1"/>
  <c r="K824" i="1"/>
  <c r="K800" i="1"/>
  <c r="K776" i="1"/>
  <c r="K752" i="1"/>
  <c r="K728" i="1"/>
  <c r="K704" i="1"/>
  <c r="K680" i="1"/>
  <c r="K656" i="1"/>
  <c r="K632" i="1"/>
  <c r="K608" i="1"/>
  <c r="K584" i="1"/>
  <c r="K560" i="1"/>
  <c r="K536" i="1"/>
  <c r="K512" i="1"/>
  <c r="K488" i="1"/>
  <c r="K464" i="1"/>
  <c r="K440" i="1"/>
  <c r="K416" i="1"/>
  <c r="K392" i="1"/>
  <c r="K368" i="1"/>
  <c r="K344" i="1"/>
  <c r="K320" i="1"/>
  <c r="K296" i="1"/>
  <c r="K272" i="1"/>
  <c r="K248" i="1"/>
  <c r="K224" i="1"/>
  <c r="K200" i="1"/>
  <c r="K176" i="1"/>
  <c r="K152" i="1"/>
  <c r="K128" i="1"/>
  <c r="K104" i="1"/>
  <c r="K80" i="1"/>
  <c r="K56" i="1"/>
  <c r="K32" i="1"/>
  <c r="K8" i="1"/>
  <c r="K991" i="1"/>
  <c r="K967" i="1"/>
  <c r="K943" i="1"/>
  <c r="K919" i="1"/>
  <c r="K895" i="1"/>
  <c r="K871" i="1"/>
  <c r="K847" i="1"/>
  <c r="K823" i="1"/>
  <c r="K799" i="1"/>
  <c r="K775" i="1"/>
  <c r="K751" i="1"/>
  <c r="K727" i="1"/>
  <c r="K703" i="1"/>
  <c r="K679" i="1"/>
  <c r="K655" i="1"/>
  <c r="K631" i="1"/>
  <c r="K607" i="1"/>
  <c r="K583" i="1"/>
  <c r="K559" i="1"/>
  <c r="K535" i="1"/>
  <c r="K511" i="1"/>
  <c r="K487" i="1"/>
  <c r="K463" i="1"/>
  <c r="K439" i="1"/>
  <c r="K415" i="1"/>
  <c r="K391" i="1"/>
  <c r="K367" i="1"/>
  <c r="K343" i="1"/>
  <c r="K319" i="1"/>
  <c r="K295" i="1"/>
  <c r="K271" i="1"/>
  <c r="K247" i="1"/>
  <c r="K223" i="1"/>
  <c r="K199" i="1"/>
  <c r="K175" i="1"/>
  <c r="K151" i="1"/>
  <c r="K127" i="1"/>
  <c r="K103" i="1"/>
  <c r="K79" i="1"/>
  <c r="K55" i="1"/>
  <c r="K31" i="1"/>
  <c r="K7" i="1"/>
  <c r="K990" i="1"/>
  <c r="K966" i="1"/>
  <c r="K942" i="1"/>
  <c r="K918" i="1"/>
  <c r="K894" i="1"/>
  <c r="K870" i="1"/>
  <c r="K846" i="1"/>
  <c r="K822" i="1"/>
  <c r="K798" i="1"/>
  <c r="K774" i="1"/>
  <c r="K750" i="1"/>
  <c r="K726" i="1"/>
  <c r="K702" i="1"/>
  <c r="K678" i="1"/>
  <c r="K654" i="1"/>
  <c r="K630" i="1"/>
  <c r="K606" i="1"/>
  <c r="K582" i="1"/>
  <c r="K558" i="1"/>
  <c r="K534" i="1"/>
  <c r="K510" i="1"/>
  <c r="K486" i="1"/>
  <c r="K462" i="1"/>
  <c r="K438" i="1"/>
  <c r="K414" i="1"/>
  <c r="K390" i="1"/>
  <c r="K366" i="1"/>
  <c r="K342" i="1"/>
  <c r="K318" i="1"/>
  <c r="K294" i="1"/>
  <c r="K270" i="1"/>
  <c r="K246" i="1"/>
  <c r="K222" i="1"/>
  <c r="K198" i="1"/>
  <c r="K174" i="1"/>
  <c r="K150" i="1"/>
  <c r="K126" i="1"/>
  <c r="K102" i="1"/>
  <c r="K78" i="1"/>
  <c r="K54" i="1"/>
  <c r="K30" i="1"/>
  <c r="K6" i="1"/>
  <c r="K989" i="1"/>
  <c r="K965" i="1"/>
  <c r="K941" i="1"/>
  <c r="K917" i="1"/>
  <c r="K893" i="1"/>
  <c r="K869" i="1"/>
  <c r="K845" i="1"/>
  <c r="K821" i="1"/>
  <c r="K797" i="1"/>
  <c r="K773" i="1"/>
  <c r="K749" i="1"/>
  <c r="K725" i="1"/>
  <c r="K701" i="1"/>
  <c r="K677" i="1"/>
  <c r="K653" i="1"/>
  <c r="K629" i="1"/>
  <c r="K605" i="1"/>
  <c r="K581" i="1"/>
  <c r="K557" i="1"/>
  <c r="K533" i="1"/>
  <c r="K509" i="1"/>
  <c r="K485" i="1"/>
  <c r="K461" i="1"/>
  <c r="K437" i="1"/>
  <c r="K413" i="1"/>
  <c r="K389" i="1"/>
  <c r="K365" i="1"/>
  <c r="K341" i="1"/>
  <c r="K317" i="1"/>
  <c r="K293" i="1"/>
  <c r="K269" i="1"/>
  <c r="K245" i="1"/>
  <c r="K221" i="1"/>
  <c r="K197" i="1"/>
  <c r="K173" i="1"/>
  <c r="K149" i="1"/>
  <c r="K125" i="1"/>
  <c r="K101" i="1"/>
  <c r="K77" i="1"/>
  <c r="K53" i="1"/>
  <c r="K29" i="1"/>
  <c r="K5" i="1"/>
  <c r="K988" i="1"/>
  <c r="K964" i="1"/>
  <c r="K940" i="1"/>
  <c r="K916" i="1"/>
  <c r="K892" i="1"/>
  <c r="K868" i="1"/>
  <c r="K844" i="1"/>
  <c r="K820" i="1"/>
  <c r="K796" i="1"/>
  <c r="K772" i="1"/>
  <c r="K748" i="1"/>
  <c r="K724" i="1"/>
  <c r="K700" i="1"/>
  <c r="K676" i="1"/>
  <c r="K652" i="1"/>
  <c r="K628" i="1"/>
  <c r="K604" i="1"/>
  <c r="K580" i="1"/>
  <c r="K556" i="1"/>
  <c r="K532" i="1"/>
  <c r="K508" i="1"/>
  <c r="K484" i="1"/>
  <c r="K460" i="1"/>
  <c r="K436" i="1"/>
  <c r="K412" i="1"/>
  <c r="K388" i="1"/>
  <c r="K364" i="1"/>
  <c r="K340" i="1"/>
  <c r="K316" i="1"/>
  <c r="K292" i="1"/>
  <c r="K268" i="1"/>
  <c r="K244" i="1"/>
  <c r="K220" i="1"/>
  <c r="K196" i="1"/>
  <c r="K172" i="1"/>
  <c r="K148" i="1"/>
  <c r="K124" i="1"/>
  <c r="K100" i="1"/>
  <c r="K76" i="1"/>
  <c r="K52" i="1"/>
  <c r="K28" i="1"/>
  <c r="K4" i="1"/>
  <c r="K987" i="1"/>
  <c r="K963" i="1"/>
  <c r="K939" i="1"/>
  <c r="K915" i="1"/>
  <c r="K891" i="1"/>
  <c r="K867" i="1"/>
  <c r="K843" i="1"/>
  <c r="K819" i="1"/>
  <c r="K795" i="1"/>
  <c r="K771" i="1"/>
  <c r="K747" i="1"/>
  <c r="K723" i="1"/>
  <c r="K699" i="1"/>
  <c r="K675" i="1"/>
  <c r="K651" i="1"/>
  <c r="K627" i="1"/>
  <c r="K603" i="1"/>
  <c r="K579" i="1"/>
  <c r="K555" i="1"/>
  <c r="K531" i="1"/>
  <c r="K507" i="1"/>
  <c r="K483" i="1"/>
  <c r="K459" i="1"/>
  <c r="K435" i="1"/>
  <c r="K411" i="1"/>
  <c r="K387" i="1"/>
  <c r="K363" i="1"/>
  <c r="K339" i="1"/>
  <c r="K315" i="1"/>
  <c r="K291" i="1"/>
  <c r="K267" i="1"/>
  <c r="K243" i="1"/>
  <c r="K219" i="1"/>
  <c r="K195" i="1"/>
  <c r="K171" i="1"/>
  <c r="K147" i="1"/>
  <c r="K123" i="1"/>
  <c r="K99" i="1"/>
  <c r="K75" i="1"/>
  <c r="K51" i="1"/>
  <c r="K27" i="1"/>
  <c r="K3" i="1"/>
  <c r="K986" i="1"/>
  <c r="K962" i="1"/>
  <c r="K938" i="1"/>
  <c r="K914" i="1"/>
  <c r="K890" i="1"/>
  <c r="K866" i="1"/>
  <c r="K842" i="1"/>
  <c r="K818" i="1"/>
  <c r="K794" i="1"/>
  <c r="K770" i="1"/>
  <c r="K746" i="1"/>
  <c r="K722" i="1"/>
  <c r="K698" i="1"/>
  <c r="K674" i="1"/>
  <c r="K650" i="1"/>
  <c r="K626" i="1"/>
  <c r="K602" i="1"/>
  <c r="K578" i="1"/>
  <c r="K554" i="1"/>
  <c r="K530" i="1"/>
  <c r="K506" i="1"/>
  <c r="K482" i="1"/>
  <c r="K458" i="1"/>
  <c r="K434" i="1"/>
  <c r="K410" i="1"/>
  <c r="K386" i="1"/>
  <c r="K362" i="1"/>
  <c r="K338" i="1"/>
  <c r="K314" i="1"/>
  <c r="K290" i="1"/>
  <c r="K266" i="1"/>
  <c r="K242" i="1"/>
  <c r="K218" i="1"/>
  <c r="K194" i="1"/>
  <c r="K170" i="1"/>
  <c r="K146" i="1"/>
  <c r="K122" i="1"/>
  <c r="K98" i="1"/>
  <c r="K74" i="1"/>
  <c r="K50" i="1"/>
  <c r="K26" i="1"/>
  <c r="K2" i="1"/>
  <c r="E5" i="3" s="1"/>
  <c r="F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<sst xmlns="http://schemas.openxmlformats.org/spreadsheetml/2006/main" count="5049" uniqueCount="53">
  <si>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</si>
  <si>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</si>
  <si>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</si>
  <si>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</si>
  <si>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</si>
  <si>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</si>
  <si>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</si>
  <si>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</si>
  <si>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</si>
  <si>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</si>
  <si>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</si>
  <si>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</si>
  <si>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</si>
  <si>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</si>
  <si>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</si>
  <si>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</si>
  <si>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</si>
  <si>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</si>
  <si>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</si>
  <si>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</si>
  <si>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</si>
  <si>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</si>
  <si>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</si>
  <si>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</si>
  <si>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</si>
  <si>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Average Score</t>
  </si>
  <si>
    <t>Pass Flag</t>
  </si>
  <si>
    <t>Outcome</t>
  </si>
  <si>
    <t>Performance Band</t>
  </si>
  <si>
    <t>Score Gap</t>
  </si>
  <si>
    <t>Avg Score</t>
  </si>
  <si>
    <t>Average Score by Test Prep</t>
  </si>
  <si>
    <t>At Risk</t>
  </si>
  <si>
    <t>High</t>
  </si>
  <si>
    <t>Meets Standard</t>
  </si>
  <si>
    <t>Average Score by Lunch Type</t>
  </si>
  <si>
    <t>Lunch Type</t>
  </si>
  <si>
    <t>Test Prep Status</t>
  </si>
  <si>
    <t>Math</t>
  </si>
  <si>
    <t>Reading</t>
  </si>
  <si>
    <t>Writing</t>
  </si>
  <si>
    <t>Average Subject Scores</t>
  </si>
  <si>
    <t>Pass Rate by Parental Education</t>
  </si>
  <si>
    <t>Performance Band Breakdown</t>
  </si>
  <si>
    <t>Student Count</t>
  </si>
  <si>
    <t>Perfromance Band</t>
  </si>
  <si>
    <t>Parental Education</t>
  </si>
  <si>
    <t>Pass Rate</t>
  </si>
  <si>
    <t>Student Academic Outcomes Dashboard</t>
  </si>
  <si>
    <t>Excel analysis of student performance by test preparation, lunch type, parental education, and subject scores</t>
  </si>
  <si>
    <t>Total Students</t>
  </si>
  <si>
    <t>High Performers</t>
  </si>
  <si>
    <t>At-Risk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</si>
</sst>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9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33" borderId="12" xfId="0" applyFont="1" applyFill="1" applyBorder="1"/>
    <xf numFmtId="164" fontId="18" fillId="33" borderId="12" xfId="0" applyNumberFormat="1" applyFont="1" applyFill="1" applyBorder="1"/>
    <xf numFmtId="0" fontId="18" fillId="33" borderId="13" xfId="0" applyFont="1" applyFill="1" applyBorder="1"/>
    <xf numFmtId="165" fontId="18" fillId="33" borderId="12" xfId="1" applyNumberFormat="1" applyFont="1" applyFill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164" formatCode="0.0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[Student_Academic_Outcomes_Dashboard.xlsx]Analysis!PivotTable1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 by Test Prep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Analysis!$B$3:$B$4</c:f>
              <c:numCache>
                <c:formatCode>0.0</c:formatCode>
                <c:ptCount val="2"/>
                <c:pt idx="0">
                  <c:v>72.669459962756051</c:v>
                </c:pt>
                <c:pt idx="1">
                  <c:v>65.038940809968878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E-4363-8304-9BF4C6F523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81052607"/>
        <c:axId val="281048767"/>
      </c:barChart>
      <c:catAx>
        <c:axId val="28105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48767"/>
        <c:crosses val="autoZero"/>
        <c:auto val="1"/>
        <c:lblAlgn val="ctr"/>
        <c:lblOffset val="100"/>
        <c:noMultiLvlLbl val="0"/>
      </c:catAx>
      <c:valAx>
        <c:axId val="28104876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5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[Student_Academic_Outcomes_Dashboard.xlsx]Analysis!PivotTable2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 by Lunch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Analysis!$D$3:$D$4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Analysis!$E$3:$E$4</c:f>
              <c:numCache>
                <c:formatCode>0.0</c:formatCode>
                <c:ptCount val="2"/>
                <c:pt idx="0">
                  <c:v>62.199061032863845</c:v>
                </c:pt>
                <c:pt idx="1">
                  <c:v>70.837209302325633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0-4E56-9109-DEE6090CAB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7016320"/>
        <c:axId val="1836828799"/>
      </c:barChart>
      <c:catAx>
        <c:axId val="670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28799"/>
        <c:crosses val="autoZero"/>
        <c:auto val="1"/>
        <c:lblAlgn val="ctr"/>
        <c:lblOffset val="100"/>
        <c:noMultiLvlLbl val="0"/>
      </c:catAx>
      <c:valAx>
        <c:axId val="183682879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6701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[Student_Academic_Outcomes_Dashboard.xlsx]Analysis!PivotTable4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Band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B3-4E7F-86DB-CAF28DAAED3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B3-4E7F-86DB-CAF28DAAED38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B3-4E7F-86DB-CAF28DAAED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Analysis!$A$12:$A$14</c:f>
              <c:strCache>
                <c:ptCount val="3"/>
                <c:pt idx="0">
                  <c:v>At Risk</c:v>
                </c:pt>
                <c:pt idx="1">
                  <c:v>High</c:v>
                </c:pt>
                <c:pt idx="2">
                  <c:v>Meets Standard</c:v>
                </c:pt>
              </c:strCache>
            </c:strRef>
          </c:cat>
          <c:val>
            <c:numRef>
              <c:f>Analysis!$B$12:$B$14</c:f>
              <c:numCache>
                <c:formatCode>General</c:formatCode>
                <c:ptCount val="3"/>
                <c:pt idx="0">
                  <c:v>285</c:v>
                </c:pt>
                <c:pt idx="1">
                  <c:v>198</c:v>
                </c:pt>
                <c:pt idx="2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B3-4E7F-86DB-CAF28DAAED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46653543307089"/>
          <c:y val="0.43181516288958505"/>
          <c:w val="0.18790846456692914"/>
          <c:h val="0.24193717720768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[Student_Academic_Outcomes_Dashboard.xlsx]Analysis!PivotTable3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Rate by Parental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Analysis!$D$12:$D$17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Analysis!$E$12:$E$17</c:f>
              <c:numCache>
                <c:formatCode>0.0%</c:formatCode>
                <c:ptCount val="6"/>
                <c:pt idx="0">
                  <c:v>0.73423423423423428</c:v>
                </c:pt>
                <c:pt idx="1">
                  <c:v>0.82203389830508478</c:v>
                </c:pt>
                <c:pt idx="2">
                  <c:v>0.61224489795918369</c:v>
                </c:pt>
                <c:pt idx="3">
                  <c:v>0.83050847457627119</c:v>
                </c:pt>
                <c:pt idx="4">
                  <c:v>0.75663716814159288</c:v>
                </c:pt>
                <c:pt idx="5">
                  <c:v>0.64245810055865926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F-49DD-94DA-3AE3E1D4A8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9312912"/>
        <c:axId val="29311952"/>
      </c:barChart>
      <c:catAx>
        <c:axId val="2931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1952"/>
        <c:crosses val="autoZero"/>
        <c:auto val="1"/>
        <c:lblAlgn val="ctr"/>
        <c:lblOffset val="100"/>
        <c:noMultiLvlLbl val="0"/>
      </c:catAx>
      <c:valAx>
        <c:axId val="293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[Student_Academic_Outcomes_Dashboard.xlsx]Analysis!PivotTable5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Subject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Analysis!$H$3</c:f>
              <c:numCache>
                <c:formatCode>0.0</c:formatCode>
                <c:ptCount val="1"/>
                <c:pt idx="0">
                  <c:v>66.088999999999999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9-41C1-AA51-27B6E0A69DF7}"/>
            </c:ext>
          </c:extLst>
        </c:ser>
        <c:ser>
          <c:idx val="1"/>
          <c:order val="1"/>
          <c:tx>
            <c:strRef>
              <c:f>Analysis!$I$2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Analysis!$I$3</c:f>
              <c:numCache>
                <c:formatCode>0.0</c:formatCode>
                <c:ptCount val="1"/>
                <c:pt idx="0">
                  <c:v>69.168999999999997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9-41C1-AA51-27B6E0A69DF7}"/>
            </c:ext>
          </c:extLst>
        </c:ser>
        <c:ser>
          <c:idx val="2"/>
          <c:order val="2"/>
          <c:tx>
            <c:strRef>
              <c:f>Analysis!$J$2</c:f>
              <c:strCache>
                <c:ptCount val="1"/>
                <c:pt idx="0">
                  <c:v>Writing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Analysis!$J$3</c:f>
              <c:numCache>
                <c:formatCode>0.0</c:formatCode>
                <c:ptCount val="1"/>
                <c:pt idx="0">
                  <c:v>68.054000000000002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9-41C1-AA51-27B6E0A69D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2396304"/>
        <c:axId val="72393424"/>
      </c:barChart>
      <c:catAx>
        <c:axId val="723963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2393424"/>
        <c:crosses val="autoZero"/>
        <c:auto val="1"/>
        <c:lblAlgn val="ctr"/>
        <c:lblOffset val="100"/>
        <c:noMultiLvlLbl val="0"/>
      </c:catAx>
      <c:valAx>
        <c:axId val="7239342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23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0</xdr:rowOff>
    </xdr:from>
    <xdr:to>
      <xdr:col>8</xdr:col>
      <xdr:colOff>19050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1D015-F42D-42C8-862F-1E98777BF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171450</xdr:rowOff>
    </xdr:from>
    <xdr:to>
      <xdr:col>8</xdr:col>
      <xdr:colOff>19050</xdr:colOff>
      <xdr:row>35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3A2F53-E1F0-43F3-B12A-1603F90E2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</xdr:colOff>
      <xdr:row>14</xdr:row>
      <xdr:rowOff>114300</xdr:rowOff>
    </xdr:from>
    <xdr:to>
      <xdr:col>16</xdr:col>
      <xdr:colOff>28575</xdr:colOff>
      <xdr:row>28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8BE9B-F1E1-4148-86A5-DB24EE4AA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180975</xdr:rowOff>
    </xdr:from>
    <xdr:to>
      <xdr:col>8</xdr:col>
      <xdr:colOff>9524</xdr:colOff>
      <xdr:row>50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FF7250-562E-465F-8486-C5CD31909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38101</xdr:colOff>
      <xdr:row>2</xdr:row>
      <xdr:rowOff>66675</xdr:rowOff>
    </xdr:from>
    <xdr:to>
      <xdr:col>16</xdr:col>
      <xdr:colOff>0</xdr:colOff>
      <xdr:row>14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2489DE-9818-5C65-3C72-34CA3D9F2F2C}"/>
            </a:ext>
          </a:extLst>
        </xdr:cNvPr>
        <xdr:cNvSpPr txBox="1"/>
      </xdr:nvSpPr>
      <xdr:spPr>
        <a:xfrm>
          <a:off x="7305676" y="561975"/>
          <a:ext cx="4838699" cy="2295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Key Insights</a:t>
          </a:r>
        </a:p>
        <a:p>
          <a:endParaRPr lang="en-US" sz="1200" b="1">
            <a:solidFill>
              <a:schemeClr val="tx2">
                <a:lumMod val="90000"/>
                <a:lumOff val="10000"/>
              </a:schemeClr>
            </a:solidFill>
          </a:endParaRPr>
        </a:p>
        <a:p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• Students who completed test preparation scored 7.7 points higher on average than students who did not.</a:t>
          </a:r>
        </a:p>
        <a:p>
          <a:endParaRPr lang="en-US" sz="1200" b="1">
            <a:solidFill>
              <a:schemeClr val="tx2">
                <a:lumMod val="90000"/>
                <a:lumOff val="10000"/>
              </a:schemeClr>
            </a:solidFill>
          </a:endParaRPr>
        </a:p>
        <a:p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• Students with standard lunch had a higher average score than students with free/reduced lunch.</a:t>
          </a:r>
        </a:p>
        <a:p>
          <a:endParaRPr lang="en-US" sz="1200" b="1">
            <a:solidFill>
              <a:schemeClr val="tx2">
                <a:lumMod val="90000"/>
                <a:lumOff val="10000"/>
              </a:schemeClr>
            </a:solidFill>
          </a:endParaRPr>
        </a:p>
        <a:p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• The overall pass rate was 71.5%, with 285 students identified as at-risk.</a:t>
          </a:r>
        </a:p>
        <a:p>
          <a:endParaRPr lang="en-US" sz="1200" b="1">
            <a:solidFill>
              <a:schemeClr val="tx2">
                <a:lumMod val="90000"/>
                <a:lumOff val="10000"/>
              </a:schemeClr>
            </a:solidFill>
          </a:endParaRPr>
        </a:p>
        <a:p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• Reading had the highest average subject score.</a:t>
          </a:r>
        </a:p>
      </xdr:txBody>
    </xdr:sp>
    <xdr:clientData/>
  </xdr:twoCellAnchor>
  <xdr:twoCellAnchor>
    <xdr:from>
      <xdr:col>8</xdr:col>
      <xdr:colOff>28575</xdr:colOff>
      <xdr:row>28</xdr:row>
      <xdr:rowOff>85725</xdr:rowOff>
    </xdr:from>
    <xdr:to>
      <xdr:col>16</xdr:col>
      <xdr:colOff>9525</xdr:colOff>
      <xdr:row>43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275B6A-F375-45AB-9EB2-774BC8FA0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14</xdr:col>
      <xdr:colOff>0</xdr:colOff>
      <xdr:row>31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65E388-53C1-47AD-E7FE-4EA5B6E80082}"/>
            </a:ext>
          </a:extLst>
        </xdr:cNvPr>
        <xdr:cNvSpPr txBox="1"/>
      </xdr:nvSpPr>
      <xdr:spPr>
        <a:xfrm>
          <a:off x="0" y="9525"/>
          <a:ext cx="8534400" cy="6076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buNone/>
          </a:pPr>
          <a:r>
            <a:rPr lang="en-US" sz="1800" b="1">
              <a:solidFill>
                <a:schemeClr val="tx2">
                  <a:lumMod val="90000"/>
                  <a:lumOff val="10000"/>
                </a:schemeClr>
              </a:solidFill>
            </a:rPr>
            <a:t>Project: Student Academic Outcomes Dashboard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Overview: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This Excel project analyzes student academic performance using a public education dataset. The goal was to evaluate how test preparation, lunch type, parental education, and subject-level scores relate to academic outcomes.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Dataset: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The dataset includes student demographic and academic performance information, including gender, race/ethnicity, parental education, lunch type, test preparation status, and scores for math, reading, and writing.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Process: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I converted the raw data into an Excel table and added helper columns to support the analysis. These included Average Score, Pass Flag, Outcome, Performance Band, and Score Gap.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Analysis: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I used PivotTables to summarize performance by test preparation status, lunch type, parental education, performance band, and subject area. I then created PivotCharts and linked KPI formulas to build a dashboard summary.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Key Metrics: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Total Students: 1,000</a:t>
          </a:r>
          <a:b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Overall Average Score: 67.8</a:t>
          </a:r>
          <a:b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Pass Rate: 71.5%</a:t>
          </a:r>
          <a:b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At-Risk Students: 285</a:t>
          </a:r>
          <a:b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High Performers: 198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sz="1200" b="1">
              <a:solidFill>
                <a:schemeClr val="tx2">
                  <a:lumMod val="90000"/>
                  <a:lumOff val="10000"/>
                </a:schemeClr>
              </a:solidFill>
            </a:rPr>
            <a:t>Key Insights: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Students who completed test preparation scored 7.7 points higher on average than students who did not.</a:t>
          </a:r>
        </a:p>
        <a:p>
          <a:pPr>
            <a:buNone/>
          </a:pP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Students with standard lunch had a higher average score than students with free/reduced lunch.</a:t>
          </a:r>
        </a:p>
        <a:p>
          <a:pPr>
            <a:buNone/>
          </a:pP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The overall pass rate was 71.5%, with 285 students identified as at-risk.</a:t>
          </a:r>
        </a:p>
        <a:p>
          <a:pPr>
            <a:buNone/>
          </a:pP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Reading had the highest average subject score.</a:t>
          </a:r>
        </a:p>
        <a:p>
          <a:pPr>
            <a:buNone/>
          </a:pPr>
          <a:endParaRPr lang="en-US" b="1">
            <a:solidFill>
              <a:schemeClr val="tx2">
                <a:lumMod val="90000"/>
                <a:lumOff val="10000"/>
              </a:schemeClr>
            </a:solidFill>
          </a:endParaRPr>
        </a:p>
        <a:p>
          <a:pPr>
            <a:buNone/>
          </a:pPr>
          <a: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  <a:t>Tools Used:</a:t>
          </a:r>
          <a:br>
            <a:rPr lang="en-US" b="1">
              <a:solidFill>
                <a:schemeClr val="tx2">
                  <a:lumMod val="90000"/>
                  <a:lumOff val="10000"/>
                </a:schemeClr>
              </a:solidFill>
            </a:rPr>
          </a:br>
          <a:r>
            <a:rPr lang="en-US" b="0">
              <a:solidFill>
                <a:schemeClr val="tx2">
                  <a:lumMod val="90000"/>
                  <a:lumOff val="10000"/>
                </a:schemeClr>
              </a:solidFill>
            </a:rPr>
            <a:t>Excel tables, structured references, formulas, PivotTables, PivotCharts, linked KPI formulas, and dashboard formatting.</a:t>
          </a:r>
        </a:p>
        <a:p>
          <a:endParaRPr lang="en-US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Holbrook" refreshedDate="46198.609217939818" createdVersion="8" refreshedVersion="8" minRefreshableVersion="3" recordCount="1000" xr:uid="{242697C5-2A8C-4CA4-9A7B-A343AD95E850}">
  <cacheSource type="worksheet">
    <worksheetSource name="tblStudents"/>
  </cacheSource>
  <cacheFields count="13">
    <cacheField name="Gender" numFmtId="0">
      <sharedItems/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Average Score" numFmtId="164">
      <sharedItems containsSemiMixedTypes="0" containsString="0" containsNumber="1" minValue="9" maxValue="100"/>
    </cacheField>
    <cacheField name="Pass Flag" numFmtId="0">
      <sharedItems containsSemiMixedTypes="0" containsString="0" containsNumber="1" containsInteger="1" minValue="0" maxValue="1"/>
    </cacheField>
    <cacheField name="Outcome" numFmtId="0">
      <sharedItems/>
    </cacheField>
    <cacheField name="Performance Band" numFmtId="0">
      <sharedItems count="3">
        <s v="Meets Standard"/>
        <s v="High"/>
        <s v="At Risk"/>
      </sharedItems>
    </cacheField>
    <cacheField name="Score Gap" numFmtId="0">
      <sharedItems containsSemiMixedTypes="0" containsString="0" containsNumber="1" containsInteger="1" minValue="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emale"/>
    <s v="group B"/>
    <x v="0"/>
    <x v="0"/>
    <x v="0"/>
    <n v="72"/>
    <n v="72"/>
    <n v="74"/>
    <n v="72.666666666666671"/>
    <n v="1"/>
    <s v="Pass"/>
    <x v="0"/>
    <n v="2"/>
  </r>
  <r>
    <s v="female"/>
    <s v="group C"/>
    <x v="1"/>
    <x v="0"/>
    <x v="1"/>
    <n v="69"/>
    <n v="90"/>
    <n v="88"/>
    <n v="82.333333333333329"/>
    <n v="1"/>
    <s v="Pass"/>
    <x v="1"/>
    <n v="21"/>
  </r>
  <r>
    <s v="female"/>
    <s v="group B"/>
    <x v="2"/>
    <x v="0"/>
    <x v="0"/>
    <n v="90"/>
    <n v="95"/>
    <n v="93"/>
    <n v="92.666666666666671"/>
    <n v="1"/>
    <s v="Pass"/>
    <x v="1"/>
    <n v="5"/>
  </r>
  <r>
    <s v="male"/>
    <s v="group A"/>
    <x v="3"/>
    <x v="1"/>
    <x v="0"/>
    <n v="47"/>
    <n v="57"/>
    <n v="44"/>
    <n v="49.333333333333336"/>
    <n v="0"/>
    <s v="At Risk"/>
    <x v="2"/>
    <n v="13"/>
  </r>
  <r>
    <s v="male"/>
    <s v="group C"/>
    <x v="1"/>
    <x v="0"/>
    <x v="0"/>
    <n v="76"/>
    <n v="78"/>
    <n v="75"/>
    <n v="76.333333333333329"/>
    <n v="1"/>
    <s v="Pass"/>
    <x v="0"/>
    <n v="3"/>
  </r>
  <r>
    <s v="female"/>
    <s v="group B"/>
    <x v="3"/>
    <x v="0"/>
    <x v="0"/>
    <n v="71"/>
    <n v="83"/>
    <n v="78"/>
    <n v="77.333333333333329"/>
    <n v="1"/>
    <s v="Pass"/>
    <x v="0"/>
    <n v="12"/>
  </r>
  <r>
    <s v="female"/>
    <s v="group B"/>
    <x v="1"/>
    <x v="0"/>
    <x v="1"/>
    <n v="88"/>
    <n v="95"/>
    <n v="92"/>
    <n v="91.666666666666671"/>
    <n v="1"/>
    <s v="Pass"/>
    <x v="1"/>
    <n v="7"/>
  </r>
  <r>
    <s v="male"/>
    <s v="group B"/>
    <x v="1"/>
    <x v="1"/>
    <x v="0"/>
    <n v="40"/>
    <n v="43"/>
    <n v="39"/>
    <n v="40.666666666666664"/>
    <n v="0"/>
    <s v="At Risk"/>
    <x v="2"/>
    <n v="4"/>
  </r>
  <r>
    <s v="male"/>
    <s v="group D"/>
    <x v="4"/>
    <x v="1"/>
    <x v="1"/>
    <n v="64"/>
    <n v="64"/>
    <n v="67"/>
    <n v="65"/>
    <n v="1"/>
    <s v="Pass"/>
    <x v="0"/>
    <n v="3"/>
  </r>
  <r>
    <s v="female"/>
    <s v="group B"/>
    <x v="4"/>
    <x v="1"/>
    <x v="0"/>
    <n v="38"/>
    <n v="60"/>
    <n v="50"/>
    <n v="49.333333333333336"/>
    <n v="0"/>
    <s v="At Risk"/>
    <x v="2"/>
    <n v="22"/>
  </r>
  <r>
    <s v="male"/>
    <s v="group C"/>
    <x v="3"/>
    <x v="0"/>
    <x v="0"/>
    <n v="58"/>
    <n v="54"/>
    <n v="52"/>
    <n v="54.666666666666664"/>
    <n v="0"/>
    <s v="At Risk"/>
    <x v="2"/>
    <n v="6"/>
  </r>
  <r>
    <s v="male"/>
    <s v="group D"/>
    <x v="3"/>
    <x v="0"/>
    <x v="0"/>
    <n v="40"/>
    <n v="52"/>
    <n v="43"/>
    <n v="45"/>
    <n v="0"/>
    <s v="At Risk"/>
    <x v="2"/>
    <n v="12"/>
  </r>
  <r>
    <s v="female"/>
    <s v="group B"/>
    <x v="4"/>
    <x v="0"/>
    <x v="0"/>
    <n v="65"/>
    <n v="81"/>
    <n v="73"/>
    <n v="73"/>
    <n v="1"/>
    <s v="Pass"/>
    <x v="0"/>
    <n v="16"/>
  </r>
  <r>
    <s v="male"/>
    <s v="group A"/>
    <x v="1"/>
    <x v="0"/>
    <x v="1"/>
    <n v="78"/>
    <n v="72"/>
    <n v="70"/>
    <n v="73.333333333333329"/>
    <n v="1"/>
    <s v="Pass"/>
    <x v="0"/>
    <n v="8"/>
  </r>
  <r>
    <s v="female"/>
    <s v="group A"/>
    <x v="2"/>
    <x v="0"/>
    <x v="0"/>
    <n v="50"/>
    <n v="53"/>
    <n v="58"/>
    <n v="53.666666666666664"/>
    <n v="0"/>
    <s v="At Risk"/>
    <x v="2"/>
    <n v="8"/>
  </r>
  <r>
    <s v="female"/>
    <s v="group C"/>
    <x v="5"/>
    <x v="0"/>
    <x v="0"/>
    <n v="69"/>
    <n v="75"/>
    <n v="78"/>
    <n v="74"/>
    <n v="1"/>
    <s v="Pass"/>
    <x v="0"/>
    <n v="9"/>
  </r>
  <r>
    <s v="male"/>
    <s v="group C"/>
    <x v="4"/>
    <x v="0"/>
    <x v="0"/>
    <n v="88"/>
    <n v="89"/>
    <n v="86"/>
    <n v="87.666666666666671"/>
    <n v="1"/>
    <s v="Pass"/>
    <x v="1"/>
    <n v="3"/>
  </r>
  <r>
    <s v="female"/>
    <s v="group B"/>
    <x v="5"/>
    <x v="1"/>
    <x v="0"/>
    <n v="18"/>
    <n v="32"/>
    <n v="28"/>
    <n v="26"/>
    <n v="0"/>
    <s v="At Risk"/>
    <x v="2"/>
    <n v="14"/>
  </r>
  <r>
    <s v="male"/>
    <s v="group C"/>
    <x v="2"/>
    <x v="1"/>
    <x v="1"/>
    <n v="46"/>
    <n v="42"/>
    <n v="46"/>
    <n v="44.666666666666664"/>
    <n v="0"/>
    <s v="At Risk"/>
    <x v="2"/>
    <n v="4"/>
  </r>
  <r>
    <s v="female"/>
    <s v="group C"/>
    <x v="3"/>
    <x v="1"/>
    <x v="0"/>
    <n v="54"/>
    <n v="58"/>
    <n v="61"/>
    <n v="57.666666666666664"/>
    <n v="0"/>
    <s v="At Risk"/>
    <x v="2"/>
    <n v="7"/>
  </r>
  <r>
    <s v="male"/>
    <s v="group D"/>
    <x v="4"/>
    <x v="0"/>
    <x v="0"/>
    <n v="66"/>
    <n v="69"/>
    <n v="63"/>
    <n v="66"/>
    <n v="1"/>
    <s v="Pass"/>
    <x v="0"/>
    <n v="6"/>
  </r>
  <r>
    <s v="female"/>
    <s v="group B"/>
    <x v="1"/>
    <x v="1"/>
    <x v="1"/>
    <n v="65"/>
    <n v="75"/>
    <n v="70"/>
    <n v="70"/>
    <n v="1"/>
    <s v="Pass"/>
    <x v="0"/>
    <n v="10"/>
  </r>
  <r>
    <s v="male"/>
    <s v="group D"/>
    <x v="1"/>
    <x v="0"/>
    <x v="0"/>
    <n v="44"/>
    <n v="54"/>
    <n v="53"/>
    <n v="50.333333333333336"/>
    <n v="0"/>
    <s v="At Risk"/>
    <x v="2"/>
    <n v="10"/>
  </r>
  <r>
    <s v="female"/>
    <s v="group C"/>
    <x v="5"/>
    <x v="0"/>
    <x v="0"/>
    <n v="69"/>
    <n v="73"/>
    <n v="73"/>
    <n v="71.666666666666671"/>
    <n v="1"/>
    <s v="Pass"/>
    <x v="0"/>
    <n v="4"/>
  </r>
  <r>
    <s v="male"/>
    <s v="group D"/>
    <x v="0"/>
    <x v="1"/>
    <x v="1"/>
    <n v="74"/>
    <n v="71"/>
    <n v="80"/>
    <n v="75"/>
    <n v="1"/>
    <s v="Pass"/>
    <x v="0"/>
    <n v="9"/>
  </r>
  <r>
    <s v="male"/>
    <s v="group A"/>
    <x v="2"/>
    <x v="1"/>
    <x v="0"/>
    <n v="73"/>
    <n v="74"/>
    <n v="72"/>
    <n v="73"/>
    <n v="1"/>
    <s v="Pass"/>
    <x v="0"/>
    <n v="2"/>
  </r>
  <r>
    <s v="male"/>
    <s v="group B"/>
    <x v="1"/>
    <x v="0"/>
    <x v="0"/>
    <n v="69"/>
    <n v="54"/>
    <n v="55"/>
    <n v="59.333333333333336"/>
    <n v="0"/>
    <s v="At Risk"/>
    <x v="2"/>
    <n v="15"/>
  </r>
  <r>
    <s v="female"/>
    <s v="group C"/>
    <x v="0"/>
    <x v="0"/>
    <x v="0"/>
    <n v="67"/>
    <n v="69"/>
    <n v="75"/>
    <n v="70.333333333333329"/>
    <n v="1"/>
    <s v="Pass"/>
    <x v="0"/>
    <n v="8"/>
  </r>
  <r>
    <s v="male"/>
    <s v="group C"/>
    <x v="4"/>
    <x v="0"/>
    <x v="0"/>
    <n v="70"/>
    <n v="70"/>
    <n v="65"/>
    <n v="68.333333333333329"/>
    <n v="1"/>
    <s v="Pass"/>
    <x v="0"/>
    <n v="5"/>
  </r>
  <r>
    <s v="female"/>
    <s v="group D"/>
    <x v="2"/>
    <x v="0"/>
    <x v="0"/>
    <n v="62"/>
    <n v="70"/>
    <n v="75"/>
    <n v="69"/>
    <n v="1"/>
    <s v="Pass"/>
    <x v="0"/>
    <n v="13"/>
  </r>
  <r>
    <s v="female"/>
    <s v="group D"/>
    <x v="1"/>
    <x v="0"/>
    <x v="0"/>
    <n v="69"/>
    <n v="74"/>
    <n v="74"/>
    <n v="72.333333333333329"/>
    <n v="1"/>
    <s v="Pass"/>
    <x v="0"/>
    <n v="5"/>
  </r>
  <r>
    <s v="female"/>
    <s v="group B"/>
    <x v="1"/>
    <x v="0"/>
    <x v="0"/>
    <n v="63"/>
    <n v="65"/>
    <n v="61"/>
    <n v="63"/>
    <n v="1"/>
    <s v="Pass"/>
    <x v="0"/>
    <n v="4"/>
  </r>
  <r>
    <s v="female"/>
    <s v="group E"/>
    <x v="2"/>
    <x v="1"/>
    <x v="0"/>
    <n v="56"/>
    <n v="72"/>
    <n v="65"/>
    <n v="64.333333333333329"/>
    <n v="1"/>
    <s v="Pass"/>
    <x v="0"/>
    <n v="16"/>
  </r>
  <r>
    <s v="male"/>
    <s v="group D"/>
    <x v="1"/>
    <x v="0"/>
    <x v="0"/>
    <n v="40"/>
    <n v="42"/>
    <n v="38"/>
    <n v="40"/>
    <n v="0"/>
    <s v="At Risk"/>
    <x v="2"/>
    <n v="4"/>
  </r>
  <r>
    <s v="male"/>
    <s v="group E"/>
    <x v="1"/>
    <x v="0"/>
    <x v="0"/>
    <n v="97"/>
    <n v="87"/>
    <n v="82"/>
    <n v="88.666666666666671"/>
    <n v="1"/>
    <s v="Pass"/>
    <x v="1"/>
    <n v="15"/>
  </r>
  <r>
    <s v="male"/>
    <s v="group E"/>
    <x v="3"/>
    <x v="0"/>
    <x v="1"/>
    <n v="81"/>
    <n v="81"/>
    <n v="79"/>
    <n v="80.333333333333329"/>
    <n v="1"/>
    <s v="Pass"/>
    <x v="1"/>
    <n v="2"/>
  </r>
  <r>
    <s v="female"/>
    <s v="group D"/>
    <x v="3"/>
    <x v="0"/>
    <x v="0"/>
    <n v="74"/>
    <n v="81"/>
    <n v="83"/>
    <n v="79.333333333333329"/>
    <n v="1"/>
    <s v="Pass"/>
    <x v="0"/>
    <n v="9"/>
  </r>
  <r>
    <s v="female"/>
    <s v="group D"/>
    <x v="5"/>
    <x v="1"/>
    <x v="0"/>
    <n v="50"/>
    <n v="64"/>
    <n v="59"/>
    <n v="57.666666666666664"/>
    <n v="0"/>
    <s v="At Risk"/>
    <x v="2"/>
    <n v="14"/>
  </r>
  <r>
    <s v="female"/>
    <s v="group D"/>
    <x v="3"/>
    <x v="1"/>
    <x v="1"/>
    <n v="75"/>
    <n v="90"/>
    <n v="88"/>
    <n v="84.333333333333329"/>
    <n v="1"/>
    <s v="Pass"/>
    <x v="1"/>
    <n v="15"/>
  </r>
  <r>
    <s v="male"/>
    <s v="group B"/>
    <x v="3"/>
    <x v="1"/>
    <x v="0"/>
    <n v="57"/>
    <n v="56"/>
    <n v="57"/>
    <n v="56.666666666666664"/>
    <n v="0"/>
    <s v="At Risk"/>
    <x v="2"/>
    <n v="1"/>
  </r>
  <r>
    <s v="male"/>
    <s v="group C"/>
    <x v="3"/>
    <x v="1"/>
    <x v="0"/>
    <n v="55"/>
    <n v="61"/>
    <n v="54"/>
    <n v="56.666666666666664"/>
    <n v="0"/>
    <s v="At Risk"/>
    <x v="2"/>
    <n v="7"/>
  </r>
  <r>
    <s v="female"/>
    <s v="group C"/>
    <x v="3"/>
    <x v="0"/>
    <x v="0"/>
    <n v="58"/>
    <n v="73"/>
    <n v="68"/>
    <n v="66.333333333333329"/>
    <n v="1"/>
    <s v="Pass"/>
    <x v="0"/>
    <n v="15"/>
  </r>
  <r>
    <s v="female"/>
    <s v="group B"/>
    <x v="3"/>
    <x v="0"/>
    <x v="0"/>
    <n v="53"/>
    <n v="58"/>
    <n v="65"/>
    <n v="58.666666666666664"/>
    <n v="0"/>
    <s v="At Risk"/>
    <x v="2"/>
    <n v="12"/>
  </r>
  <r>
    <s v="male"/>
    <s v="group B"/>
    <x v="1"/>
    <x v="1"/>
    <x v="1"/>
    <n v="59"/>
    <n v="65"/>
    <n v="66"/>
    <n v="63.333333333333336"/>
    <n v="1"/>
    <s v="Pass"/>
    <x v="0"/>
    <n v="7"/>
  </r>
  <r>
    <s v="female"/>
    <s v="group E"/>
    <x v="3"/>
    <x v="1"/>
    <x v="0"/>
    <n v="50"/>
    <n v="56"/>
    <n v="54"/>
    <n v="53.333333333333336"/>
    <n v="0"/>
    <s v="At Risk"/>
    <x v="2"/>
    <n v="6"/>
  </r>
  <r>
    <s v="male"/>
    <s v="group B"/>
    <x v="3"/>
    <x v="0"/>
    <x v="0"/>
    <n v="65"/>
    <n v="54"/>
    <n v="57"/>
    <n v="58.666666666666664"/>
    <n v="0"/>
    <s v="At Risk"/>
    <x v="2"/>
    <n v="11"/>
  </r>
  <r>
    <s v="female"/>
    <s v="group A"/>
    <x v="3"/>
    <x v="0"/>
    <x v="1"/>
    <n v="55"/>
    <n v="65"/>
    <n v="62"/>
    <n v="60.666666666666664"/>
    <n v="1"/>
    <s v="Pass"/>
    <x v="0"/>
    <n v="10"/>
  </r>
  <r>
    <s v="female"/>
    <s v="group C"/>
    <x v="4"/>
    <x v="0"/>
    <x v="0"/>
    <n v="66"/>
    <n v="71"/>
    <n v="76"/>
    <n v="71"/>
    <n v="1"/>
    <s v="Pass"/>
    <x v="0"/>
    <n v="10"/>
  </r>
  <r>
    <s v="female"/>
    <s v="group D"/>
    <x v="3"/>
    <x v="1"/>
    <x v="1"/>
    <n v="57"/>
    <n v="74"/>
    <n v="76"/>
    <n v="69"/>
    <n v="1"/>
    <s v="Pass"/>
    <x v="0"/>
    <n v="19"/>
  </r>
  <r>
    <s v="male"/>
    <s v="group C"/>
    <x v="4"/>
    <x v="0"/>
    <x v="1"/>
    <n v="82"/>
    <n v="84"/>
    <n v="82"/>
    <n v="82.666666666666671"/>
    <n v="1"/>
    <s v="Pass"/>
    <x v="1"/>
    <n v="2"/>
  </r>
  <r>
    <s v="male"/>
    <s v="group E"/>
    <x v="1"/>
    <x v="0"/>
    <x v="0"/>
    <n v="53"/>
    <n v="55"/>
    <n v="48"/>
    <n v="52"/>
    <n v="0"/>
    <s v="At Risk"/>
    <x v="2"/>
    <n v="7"/>
  </r>
  <r>
    <s v="male"/>
    <s v="group E"/>
    <x v="3"/>
    <x v="1"/>
    <x v="1"/>
    <n v="77"/>
    <n v="69"/>
    <n v="68"/>
    <n v="71.333333333333329"/>
    <n v="1"/>
    <s v="Pass"/>
    <x v="0"/>
    <n v="9"/>
  </r>
  <r>
    <s v="male"/>
    <s v="group C"/>
    <x v="1"/>
    <x v="0"/>
    <x v="0"/>
    <n v="53"/>
    <n v="44"/>
    <n v="42"/>
    <n v="46.333333333333336"/>
    <n v="0"/>
    <s v="At Risk"/>
    <x v="2"/>
    <n v="11"/>
  </r>
  <r>
    <s v="male"/>
    <s v="group D"/>
    <x v="4"/>
    <x v="0"/>
    <x v="0"/>
    <n v="88"/>
    <n v="78"/>
    <n v="75"/>
    <n v="80.333333333333329"/>
    <n v="1"/>
    <s v="Pass"/>
    <x v="1"/>
    <n v="13"/>
  </r>
  <r>
    <s v="female"/>
    <s v="group C"/>
    <x v="5"/>
    <x v="1"/>
    <x v="1"/>
    <n v="71"/>
    <n v="84"/>
    <n v="87"/>
    <n v="80.666666666666671"/>
    <n v="1"/>
    <s v="Pass"/>
    <x v="1"/>
    <n v="16"/>
  </r>
  <r>
    <s v="female"/>
    <s v="group C"/>
    <x v="4"/>
    <x v="1"/>
    <x v="0"/>
    <n v="33"/>
    <n v="41"/>
    <n v="43"/>
    <n v="39"/>
    <n v="0"/>
    <s v="At Risk"/>
    <x v="2"/>
    <n v="10"/>
  </r>
  <r>
    <s v="female"/>
    <s v="group E"/>
    <x v="3"/>
    <x v="0"/>
    <x v="1"/>
    <n v="82"/>
    <n v="85"/>
    <n v="86"/>
    <n v="84.333333333333329"/>
    <n v="1"/>
    <s v="Pass"/>
    <x v="1"/>
    <n v="4"/>
  </r>
  <r>
    <s v="male"/>
    <s v="group D"/>
    <x v="3"/>
    <x v="0"/>
    <x v="0"/>
    <n v="52"/>
    <n v="55"/>
    <n v="49"/>
    <n v="52"/>
    <n v="0"/>
    <s v="At Risk"/>
    <x v="2"/>
    <n v="6"/>
  </r>
  <r>
    <s v="male"/>
    <s v="group D"/>
    <x v="1"/>
    <x v="0"/>
    <x v="1"/>
    <n v="58"/>
    <n v="59"/>
    <n v="58"/>
    <n v="58.333333333333336"/>
    <n v="0"/>
    <s v="At Risk"/>
    <x v="2"/>
    <n v="1"/>
  </r>
  <r>
    <s v="female"/>
    <s v="group C"/>
    <x v="5"/>
    <x v="1"/>
    <x v="0"/>
    <n v="0"/>
    <n v="17"/>
    <n v="10"/>
    <n v="9"/>
    <n v="0"/>
    <s v="At Risk"/>
    <x v="2"/>
    <n v="17"/>
  </r>
  <r>
    <s v="male"/>
    <s v="group E"/>
    <x v="0"/>
    <x v="1"/>
    <x v="1"/>
    <n v="79"/>
    <n v="74"/>
    <n v="72"/>
    <n v="75"/>
    <n v="1"/>
    <s v="Pass"/>
    <x v="0"/>
    <n v="7"/>
  </r>
  <r>
    <s v="male"/>
    <s v="group A"/>
    <x v="5"/>
    <x v="1"/>
    <x v="0"/>
    <n v="39"/>
    <n v="39"/>
    <n v="34"/>
    <n v="37.333333333333336"/>
    <n v="0"/>
    <s v="At Risk"/>
    <x v="2"/>
    <n v="5"/>
  </r>
  <r>
    <s v="male"/>
    <s v="group A"/>
    <x v="3"/>
    <x v="1"/>
    <x v="0"/>
    <n v="62"/>
    <n v="61"/>
    <n v="55"/>
    <n v="59.333333333333336"/>
    <n v="0"/>
    <s v="At Risk"/>
    <x v="2"/>
    <n v="7"/>
  </r>
  <r>
    <s v="female"/>
    <s v="group C"/>
    <x v="3"/>
    <x v="0"/>
    <x v="0"/>
    <n v="69"/>
    <n v="80"/>
    <n v="71"/>
    <n v="73.333333333333329"/>
    <n v="1"/>
    <s v="Pass"/>
    <x v="0"/>
    <n v="11"/>
  </r>
  <r>
    <s v="female"/>
    <s v="group D"/>
    <x v="5"/>
    <x v="0"/>
    <x v="0"/>
    <n v="59"/>
    <n v="58"/>
    <n v="59"/>
    <n v="58.666666666666664"/>
    <n v="0"/>
    <s v="At Risk"/>
    <x v="2"/>
    <n v="1"/>
  </r>
  <r>
    <s v="male"/>
    <s v="group B"/>
    <x v="5"/>
    <x v="0"/>
    <x v="0"/>
    <n v="67"/>
    <n v="64"/>
    <n v="61"/>
    <n v="64"/>
    <n v="1"/>
    <s v="Pass"/>
    <x v="0"/>
    <n v="6"/>
  </r>
  <r>
    <s v="male"/>
    <s v="group D"/>
    <x v="5"/>
    <x v="1"/>
    <x v="0"/>
    <n v="45"/>
    <n v="37"/>
    <n v="37"/>
    <n v="39.666666666666664"/>
    <n v="0"/>
    <s v="At Risk"/>
    <x v="2"/>
    <n v="8"/>
  </r>
  <r>
    <s v="female"/>
    <s v="group C"/>
    <x v="1"/>
    <x v="0"/>
    <x v="0"/>
    <n v="60"/>
    <n v="72"/>
    <n v="74"/>
    <n v="68.666666666666671"/>
    <n v="1"/>
    <s v="Pass"/>
    <x v="0"/>
    <n v="14"/>
  </r>
  <r>
    <s v="male"/>
    <s v="group B"/>
    <x v="3"/>
    <x v="1"/>
    <x v="0"/>
    <n v="61"/>
    <n v="58"/>
    <n v="56"/>
    <n v="58.333333333333336"/>
    <n v="0"/>
    <s v="At Risk"/>
    <x v="2"/>
    <n v="5"/>
  </r>
  <r>
    <s v="female"/>
    <s v="group C"/>
    <x v="3"/>
    <x v="0"/>
    <x v="0"/>
    <n v="39"/>
    <n v="64"/>
    <n v="57"/>
    <n v="53.333333333333336"/>
    <n v="0"/>
    <s v="At Risk"/>
    <x v="2"/>
    <n v="25"/>
  </r>
  <r>
    <s v="female"/>
    <s v="group D"/>
    <x v="1"/>
    <x v="1"/>
    <x v="1"/>
    <n v="58"/>
    <n v="63"/>
    <n v="73"/>
    <n v="64.666666666666671"/>
    <n v="1"/>
    <s v="Pass"/>
    <x v="0"/>
    <n v="15"/>
  </r>
  <r>
    <s v="male"/>
    <s v="group D"/>
    <x v="1"/>
    <x v="0"/>
    <x v="1"/>
    <n v="63"/>
    <n v="55"/>
    <n v="63"/>
    <n v="60.333333333333336"/>
    <n v="1"/>
    <s v="Pass"/>
    <x v="0"/>
    <n v="8"/>
  </r>
  <r>
    <s v="female"/>
    <s v="group A"/>
    <x v="3"/>
    <x v="1"/>
    <x v="0"/>
    <n v="41"/>
    <n v="51"/>
    <n v="48"/>
    <n v="46.666666666666664"/>
    <n v="0"/>
    <s v="At Risk"/>
    <x v="2"/>
    <n v="10"/>
  </r>
  <r>
    <s v="male"/>
    <s v="group C"/>
    <x v="5"/>
    <x v="1"/>
    <x v="0"/>
    <n v="61"/>
    <n v="57"/>
    <n v="56"/>
    <n v="58"/>
    <n v="0"/>
    <s v="At Risk"/>
    <x v="2"/>
    <n v="5"/>
  </r>
  <r>
    <s v="male"/>
    <s v="group C"/>
    <x v="5"/>
    <x v="0"/>
    <x v="0"/>
    <n v="49"/>
    <n v="49"/>
    <n v="41"/>
    <n v="46.333333333333336"/>
    <n v="0"/>
    <s v="At Risk"/>
    <x v="2"/>
    <n v="8"/>
  </r>
  <r>
    <s v="male"/>
    <s v="group B"/>
    <x v="3"/>
    <x v="1"/>
    <x v="0"/>
    <n v="44"/>
    <n v="41"/>
    <n v="38"/>
    <n v="41"/>
    <n v="0"/>
    <s v="At Risk"/>
    <x v="2"/>
    <n v="6"/>
  </r>
  <r>
    <s v="male"/>
    <s v="group E"/>
    <x v="5"/>
    <x v="0"/>
    <x v="0"/>
    <n v="30"/>
    <n v="26"/>
    <n v="22"/>
    <n v="26"/>
    <n v="0"/>
    <s v="At Risk"/>
    <x v="2"/>
    <n v="8"/>
  </r>
  <r>
    <s v="male"/>
    <s v="group A"/>
    <x v="0"/>
    <x v="0"/>
    <x v="1"/>
    <n v="80"/>
    <n v="78"/>
    <n v="81"/>
    <n v="79.666666666666671"/>
    <n v="1"/>
    <s v="Pass"/>
    <x v="0"/>
    <n v="3"/>
  </r>
  <r>
    <s v="female"/>
    <s v="group D"/>
    <x v="5"/>
    <x v="0"/>
    <x v="1"/>
    <n v="61"/>
    <n v="74"/>
    <n v="72"/>
    <n v="69"/>
    <n v="1"/>
    <s v="Pass"/>
    <x v="0"/>
    <n v="13"/>
  </r>
  <r>
    <s v="female"/>
    <s v="group E"/>
    <x v="2"/>
    <x v="0"/>
    <x v="0"/>
    <n v="62"/>
    <n v="68"/>
    <n v="68"/>
    <n v="66"/>
    <n v="1"/>
    <s v="Pass"/>
    <x v="0"/>
    <n v="6"/>
  </r>
  <r>
    <s v="female"/>
    <s v="group B"/>
    <x v="3"/>
    <x v="0"/>
    <x v="0"/>
    <n v="47"/>
    <n v="49"/>
    <n v="50"/>
    <n v="48.666666666666664"/>
    <n v="0"/>
    <s v="At Risk"/>
    <x v="2"/>
    <n v="3"/>
  </r>
  <r>
    <s v="male"/>
    <s v="group B"/>
    <x v="4"/>
    <x v="1"/>
    <x v="0"/>
    <n v="49"/>
    <n v="45"/>
    <n v="45"/>
    <n v="46.333333333333336"/>
    <n v="0"/>
    <s v="At Risk"/>
    <x v="2"/>
    <n v="4"/>
  </r>
  <r>
    <s v="male"/>
    <s v="group A"/>
    <x v="1"/>
    <x v="1"/>
    <x v="1"/>
    <n v="50"/>
    <n v="47"/>
    <n v="54"/>
    <n v="50.333333333333336"/>
    <n v="0"/>
    <s v="At Risk"/>
    <x v="2"/>
    <n v="7"/>
  </r>
  <r>
    <s v="male"/>
    <s v="group E"/>
    <x v="3"/>
    <x v="0"/>
    <x v="0"/>
    <n v="72"/>
    <n v="64"/>
    <n v="63"/>
    <n v="66.333333333333329"/>
    <n v="1"/>
    <s v="Pass"/>
    <x v="0"/>
    <n v="9"/>
  </r>
  <r>
    <s v="male"/>
    <s v="group D"/>
    <x v="4"/>
    <x v="1"/>
    <x v="0"/>
    <n v="42"/>
    <n v="39"/>
    <n v="34"/>
    <n v="38.333333333333336"/>
    <n v="0"/>
    <s v="At Risk"/>
    <x v="2"/>
    <n v="8"/>
  </r>
  <r>
    <s v="female"/>
    <s v="group C"/>
    <x v="1"/>
    <x v="0"/>
    <x v="0"/>
    <n v="73"/>
    <n v="80"/>
    <n v="82"/>
    <n v="78.333333333333329"/>
    <n v="1"/>
    <s v="Pass"/>
    <x v="0"/>
    <n v="9"/>
  </r>
  <r>
    <s v="female"/>
    <s v="group C"/>
    <x v="1"/>
    <x v="1"/>
    <x v="0"/>
    <n v="76"/>
    <n v="83"/>
    <n v="88"/>
    <n v="82.333333333333329"/>
    <n v="1"/>
    <s v="Pass"/>
    <x v="1"/>
    <n v="12"/>
  </r>
  <r>
    <s v="female"/>
    <s v="group D"/>
    <x v="3"/>
    <x v="0"/>
    <x v="0"/>
    <n v="71"/>
    <n v="71"/>
    <n v="74"/>
    <n v="72"/>
    <n v="1"/>
    <s v="Pass"/>
    <x v="0"/>
    <n v="3"/>
  </r>
  <r>
    <s v="female"/>
    <s v="group A"/>
    <x v="1"/>
    <x v="0"/>
    <x v="0"/>
    <n v="58"/>
    <n v="70"/>
    <n v="67"/>
    <n v="65"/>
    <n v="1"/>
    <s v="Pass"/>
    <x v="0"/>
    <n v="12"/>
  </r>
  <r>
    <s v="female"/>
    <s v="group D"/>
    <x v="5"/>
    <x v="0"/>
    <x v="0"/>
    <n v="73"/>
    <n v="86"/>
    <n v="82"/>
    <n v="80.333333333333329"/>
    <n v="1"/>
    <s v="Pass"/>
    <x v="1"/>
    <n v="13"/>
  </r>
  <r>
    <s v="female"/>
    <s v="group C"/>
    <x v="0"/>
    <x v="0"/>
    <x v="0"/>
    <n v="65"/>
    <n v="72"/>
    <n v="74"/>
    <n v="70.333333333333329"/>
    <n v="1"/>
    <s v="Pass"/>
    <x v="0"/>
    <n v="9"/>
  </r>
  <r>
    <s v="male"/>
    <s v="group C"/>
    <x v="4"/>
    <x v="1"/>
    <x v="0"/>
    <n v="27"/>
    <n v="34"/>
    <n v="36"/>
    <n v="32.333333333333336"/>
    <n v="0"/>
    <s v="At Risk"/>
    <x v="2"/>
    <n v="9"/>
  </r>
  <r>
    <s v="male"/>
    <s v="group C"/>
    <x v="4"/>
    <x v="0"/>
    <x v="0"/>
    <n v="71"/>
    <n v="79"/>
    <n v="71"/>
    <n v="73.666666666666671"/>
    <n v="1"/>
    <s v="Pass"/>
    <x v="0"/>
    <n v="8"/>
  </r>
  <r>
    <s v="male"/>
    <s v="group C"/>
    <x v="3"/>
    <x v="1"/>
    <x v="1"/>
    <n v="43"/>
    <n v="45"/>
    <n v="50"/>
    <n v="46"/>
    <n v="0"/>
    <s v="At Risk"/>
    <x v="2"/>
    <n v="7"/>
  </r>
  <r>
    <s v="female"/>
    <s v="group B"/>
    <x v="1"/>
    <x v="0"/>
    <x v="0"/>
    <n v="79"/>
    <n v="86"/>
    <n v="92"/>
    <n v="85.666666666666671"/>
    <n v="1"/>
    <s v="Pass"/>
    <x v="1"/>
    <n v="13"/>
  </r>
  <r>
    <s v="male"/>
    <s v="group C"/>
    <x v="3"/>
    <x v="1"/>
    <x v="1"/>
    <n v="78"/>
    <n v="81"/>
    <n v="82"/>
    <n v="80.333333333333329"/>
    <n v="1"/>
    <s v="Pass"/>
    <x v="1"/>
    <n v="4"/>
  </r>
  <r>
    <s v="male"/>
    <s v="group B"/>
    <x v="5"/>
    <x v="0"/>
    <x v="1"/>
    <n v="65"/>
    <n v="66"/>
    <n v="62"/>
    <n v="64.333333333333329"/>
    <n v="1"/>
    <s v="Pass"/>
    <x v="0"/>
    <n v="4"/>
  </r>
  <r>
    <s v="female"/>
    <s v="group E"/>
    <x v="1"/>
    <x v="0"/>
    <x v="1"/>
    <n v="63"/>
    <n v="72"/>
    <n v="70"/>
    <n v="68.333333333333329"/>
    <n v="1"/>
    <s v="Pass"/>
    <x v="0"/>
    <n v="9"/>
  </r>
  <r>
    <s v="female"/>
    <s v="group D"/>
    <x v="1"/>
    <x v="1"/>
    <x v="0"/>
    <n v="58"/>
    <n v="67"/>
    <n v="62"/>
    <n v="62.333333333333336"/>
    <n v="1"/>
    <s v="Pass"/>
    <x v="0"/>
    <n v="9"/>
  </r>
  <r>
    <s v="female"/>
    <s v="group D"/>
    <x v="0"/>
    <x v="0"/>
    <x v="0"/>
    <n v="65"/>
    <n v="67"/>
    <n v="62"/>
    <n v="64.666666666666671"/>
    <n v="1"/>
    <s v="Pass"/>
    <x v="0"/>
    <n v="5"/>
  </r>
  <r>
    <s v="male"/>
    <s v="group B"/>
    <x v="1"/>
    <x v="0"/>
    <x v="0"/>
    <n v="79"/>
    <n v="67"/>
    <n v="67"/>
    <n v="71"/>
    <n v="1"/>
    <s v="Pass"/>
    <x v="0"/>
    <n v="12"/>
  </r>
  <r>
    <s v="male"/>
    <s v="group D"/>
    <x v="0"/>
    <x v="0"/>
    <x v="1"/>
    <n v="68"/>
    <n v="74"/>
    <n v="74"/>
    <n v="72"/>
    <n v="1"/>
    <s v="Pass"/>
    <x v="0"/>
    <n v="6"/>
  </r>
  <r>
    <s v="female"/>
    <s v="group D"/>
    <x v="3"/>
    <x v="0"/>
    <x v="0"/>
    <n v="85"/>
    <n v="91"/>
    <n v="89"/>
    <n v="88.333333333333329"/>
    <n v="1"/>
    <s v="Pass"/>
    <x v="1"/>
    <n v="6"/>
  </r>
  <r>
    <s v="male"/>
    <s v="group B"/>
    <x v="4"/>
    <x v="0"/>
    <x v="1"/>
    <n v="60"/>
    <n v="44"/>
    <n v="47"/>
    <n v="50.333333333333336"/>
    <n v="0"/>
    <s v="At Risk"/>
    <x v="2"/>
    <n v="16"/>
  </r>
  <r>
    <s v="male"/>
    <s v="group C"/>
    <x v="1"/>
    <x v="0"/>
    <x v="1"/>
    <n v="98"/>
    <n v="86"/>
    <n v="90"/>
    <n v="91.333333333333329"/>
    <n v="1"/>
    <s v="Pass"/>
    <x v="1"/>
    <n v="12"/>
  </r>
  <r>
    <s v="female"/>
    <s v="group C"/>
    <x v="1"/>
    <x v="0"/>
    <x v="0"/>
    <n v="58"/>
    <n v="67"/>
    <n v="72"/>
    <n v="65.666666666666671"/>
    <n v="1"/>
    <s v="Pass"/>
    <x v="0"/>
    <n v="14"/>
  </r>
  <r>
    <s v="female"/>
    <s v="group D"/>
    <x v="2"/>
    <x v="0"/>
    <x v="0"/>
    <n v="87"/>
    <n v="100"/>
    <n v="100"/>
    <n v="95.666666666666671"/>
    <n v="1"/>
    <s v="Pass"/>
    <x v="1"/>
    <n v="13"/>
  </r>
  <r>
    <s v="male"/>
    <s v="group E"/>
    <x v="3"/>
    <x v="0"/>
    <x v="1"/>
    <n v="66"/>
    <n v="63"/>
    <n v="64"/>
    <n v="64.333333333333329"/>
    <n v="1"/>
    <s v="Pass"/>
    <x v="0"/>
    <n v="3"/>
  </r>
  <r>
    <s v="female"/>
    <s v="group B"/>
    <x v="3"/>
    <x v="1"/>
    <x v="0"/>
    <n v="52"/>
    <n v="76"/>
    <n v="70"/>
    <n v="66"/>
    <n v="1"/>
    <s v="Pass"/>
    <x v="0"/>
    <n v="24"/>
  </r>
  <r>
    <s v="female"/>
    <s v="group B"/>
    <x v="5"/>
    <x v="0"/>
    <x v="0"/>
    <n v="70"/>
    <n v="64"/>
    <n v="72"/>
    <n v="68.666666666666671"/>
    <n v="1"/>
    <s v="Pass"/>
    <x v="0"/>
    <n v="8"/>
  </r>
  <r>
    <s v="female"/>
    <s v="group D"/>
    <x v="3"/>
    <x v="1"/>
    <x v="1"/>
    <n v="77"/>
    <n v="89"/>
    <n v="98"/>
    <n v="88"/>
    <n v="1"/>
    <s v="Pass"/>
    <x v="1"/>
    <n v="21"/>
  </r>
  <r>
    <s v="male"/>
    <s v="group C"/>
    <x v="4"/>
    <x v="0"/>
    <x v="0"/>
    <n v="62"/>
    <n v="55"/>
    <n v="49"/>
    <n v="55.333333333333336"/>
    <n v="0"/>
    <s v="At Risk"/>
    <x v="2"/>
    <n v="13"/>
  </r>
  <r>
    <s v="male"/>
    <s v="group A"/>
    <x v="3"/>
    <x v="0"/>
    <x v="0"/>
    <n v="54"/>
    <n v="53"/>
    <n v="47"/>
    <n v="51.333333333333336"/>
    <n v="0"/>
    <s v="At Risk"/>
    <x v="2"/>
    <n v="7"/>
  </r>
  <r>
    <s v="female"/>
    <s v="group D"/>
    <x v="1"/>
    <x v="0"/>
    <x v="0"/>
    <n v="51"/>
    <n v="58"/>
    <n v="54"/>
    <n v="54.333333333333336"/>
    <n v="0"/>
    <s v="At Risk"/>
    <x v="2"/>
    <n v="7"/>
  </r>
  <r>
    <s v="female"/>
    <s v="group E"/>
    <x v="0"/>
    <x v="0"/>
    <x v="1"/>
    <n v="99"/>
    <n v="100"/>
    <n v="100"/>
    <n v="99.666666666666671"/>
    <n v="1"/>
    <s v="Pass"/>
    <x v="1"/>
    <n v="1"/>
  </r>
  <r>
    <s v="male"/>
    <s v="group C"/>
    <x v="4"/>
    <x v="0"/>
    <x v="0"/>
    <n v="84"/>
    <n v="77"/>
    <n v="74"/>
    <n v="78.333333333333329"/>
    <n v="1"/>
    <s v="Pass"/>
    <x v="0"/>
    <n v="10"/>
  </r>
  <r>
    <s v="female"/>
    <s v="group B"/>
    <x v="0"/>
    <x v="1"/>
    <x v="0"/>
    <n v="75"/>
    <n v="85"/>
    <n v="82"/>
    <n v="80.666666666666671"/>
    <n v="1"/>
    <s v="Pass"/>
    <x v="1"/>
    <n v="10"/>
  </r>
  <r>
    <s v="female"/>
    <s v="group D"/>
    <x v="0"/>
    <x v="0"/>
    <x v="0"/>
    <n v="78"/>
    <n v="82"/>
    <n v="79"/>
    <n v="79.666666666666671"/>
    <n v="1"/>
    <s v="Pass"/>
    <x v="0"/>
    <n v="4"/>
  </r>
  <r>
    <s v="female"/>
    <s v="group D"/>
    <x v="5"/>
    <x v="0"/>
    <x v="0"/>
    <n v="51"/>
    <n v="63"/>
    <n v="61"/>
    <n v="58.333333333333336"/>
    <n v="0"/>
    <s v="At Risk"/>
    <x v="2"/>
    <n v="12"/>
  </r>
  <r>
    <s v="female"/>
    <s v="group C"/>
    <x v="1"/>
    <x v="0"/>
    <x v="0"/>
    <n v="55"/>
    <n v="69"/>
    <n v="65"/>
    <n v="63"/>
    <n v="1"/>
    <s v="Pass"/>
    <x v="0"/>
    <n v="14"/>
  </r>
  <r>
    <s v="female"/>
    <s v="group C"/>
    <x v="0"/>
    <x v="0"/>
    <x v="1"/>
    <n v="79"/>
    <n v="92"/>
    <n v="89"/>
    <n v="86.666666666666671"/>
    <n v="1"/>
    <s v="Pass"/>
    <x v="1"/>
    <n v="13"/>
  </r>
  <r>
    <s v="male"/>
    <s v="group B"/>
    <x v="3"/>
    <x v="0"/>
    <x v="1"/>
    <n v="91"/>
    <n v="89"/>
    <n v="92"/>
    <n v="90.666666666666671"/>
    <n v="1"/>
    <s v="Pass"/>
    <x v="1"/>
    <n v="3"/>
  </r>
  <r>
    <s v="female"/>
    <s v="group C"/>
    <x v="1"/>
    <x v="0"/>
    <x v="1"/>
    <n v="88"/>
    <n v="93"/>
    <n v="93"/>
    <n v="91.333333333333329"/>
    <n v="1"/>
    <s v="Pass"/>
    <x v="1"/>
    <n v="5"/>
  </r>
  <r>
    <s v="male"/>
    <s v="group D"/>
    <x v="4"/>
    <x v="1"/>
    <x v="0"/>
    <n v="63"/>
    <n v="57"/>
    <n v="56"/>
    <n v="58.666666666666664"/>
    <n v="0"/>
    <s v="At Risk"/>
    <x v="2"/>
    <n v="7"/>
  </r>
  <r>
    <s v="male"/>
    <s v="group E"/>
    <x v="1"/>
    <x v="0"/>
    <x v="0"/>
    <n v="83"/>
    <n v="80"/>
    <n v="73"/>
    <n v="78.666666666666671"/>
    <n v="1"/>
    <s v="Pass"/>
    <x v="0"/>
    <n v="10"/>
  </r>
  <r>
    <s v="female"/>
    <s v="group B"/>
    <x v="4"/>
    <x v="0"/>
    <x v="0"/>
    <n v="87"/>
    <n v="95"/>
    <n v="86"/>
    <n v="89.333333333333329"/>
    <n v="1"/>
    <s v="Pass"/>
    <x v="1"/>
    <n v="9"/>
  </r>
  <r>
    <s v="male"/>
    <s v="group B"/>
    <x v="5"/>
    <x v="0"/>
    <x v="0"/>
    <n v="72"/>
    <n v="68"/>
    <n v="67"/>
    <n v="69"/>
    <n v="1"/>
    <s v="Pass"/>
    <x v="0"/>
    <n v="5"/>
  </r>
  <r>
    <s v="male"/>
    <s v="group D"/>
    <x v="1"/>
    <x v="0"/>
    <x v="1"/>
    <n v="65"/>
    <n v="77"/>
    <n v="74"/>
    <n v="72"/>
    <n v="1"/>
    <s v="Pass"/>
    <x v="0"/>
    <n v="12"/>
  </r>
  <r>
    <s v="male"/>
    <s v="group D"/>
    <x v="2"/>
    <x v="0"/>
    <x v="0"/>
    <n v="82"/>
    <n v="82"/>
    <n v="74"/>
    <n v="79.333333333333329"/>
    <n v="1"/>
    <s v="Pass"/>
    <x v="0"/>
    <n v="8"/>
  </r>
  <r>
    <s v="female"/>
    <s v="group A"/>
    <x v="0"/>
    <x v="0"/>
    <x v="0"/>
    <n v="51"/>
    <n v="49"/>
    <n v="51"/>
    <n v="50.333333333333336"/>
    <n v="0"/>
    <s v="At Risk"/>
    <x v="2"/>
    <n v="2"/>
  </r>
  <r>
    <s v="male"/>
    <s v="group D"/>
    <x v="2"/>
    <x v="0"/>
    <x v="0"/>
    <n v="89"/>
    <n v="84"/>
    <n v="82"/>
    <n v="85"/>
    <n v="1"/>
    <s v="Pass"/>
    <x v="1"/>
    <n v="7"/>
  </r>
  <r>
    <s v="male"/>
    <s v="group C"/>
    <x v="5"/>
    <x v="1"/>
    <x v="1"/>
    <n v="53"/>
    <n v="37"/>
    <n v="40"/>
    <n v="43.333333333333336"/>
    <n v="0"/>
    <s v="At Risk"/>
    <x v="2"/>
    <n v="16"/>
  </r>
  <r>
    <s v="male"/>
    <s v="group E"/>
    <x v="1"/>
    <x v="1"/>
    <x v="1"/>
    <n v="87"/>
    <n v="74"/>
    <n v="70"/>
    <n v="77"/>
    <n v="1"/>
    <s v="Pass"/>
    <x v="0"/>
    <n v="17"/>
  </r>
  <r>
    <s v="female"/>
    <s v="group C"/>
    <x v="1"/>
    <x v="0"/>
    <x v="1"/>
    <n v="75"/>
    <n v="81"/>
    <n v="84"/>
    <n v="80"/>
    <n v="1"/>
    <s v="Pass"/>
    <x v="1"/>
    <n v="9"/>
  </r>
  <r>
    <s v="male"/>
    <s v="group D"/>
    <x v="0"/>
    <x v="1"/>
    <x v="1"/>
    <n v="74"/>
    <n v="79"/>
    <n v="75"/>
    <n v="76"/>
    <n v="1"/>
    <s v="Pass"/>
    <x v="0"/>
    <n v="5"/>
  </r>
  <r>
    <s v="male"/>
    <s v="group C"/>
    <x v="0"/>
    <x v="0"/>
    <x v="0"/>
    <n v="58"/>
    <n v="55"/>
    <n v="48"/>
    <n v="53.666666666666664"/>
    <n v="0"/>
    <s v="At Risk"/>
    <x v="2"/>
    <n v="10"/>
  </r>
  <r>
    <s v="male"/>
    <s v="group B"/>
    <x v="5"/>
    <x v="0"/>
    <x v="1"/>
    <n v="51"/>
    <n v="54"/>
    <n v="41"/>
    <n v="48.666666666666664"/>
    <n v="0"/>
    <s v="At Risk"/>
    <x v="2"/>
    <n v="13"/>
  </r>
  <r>
    <s v="male"/>
    <s v="group E"/>
    <x v="4"/>
    <x v="0"/>
    <x v="0"/>
    <n v="70"/>
    <n v="55"/>
    <n v="56"/>
    <n v="60.333333333333336"/>
    <n v="1"/>
    <s v="Pass"/>
    <x v="0"/>
    <n v="15"/>
  </r>
  <r>
    <s v="female"/>
    <s v="group C"/>
    <x v="3"/>
    <x v="0"/>
    <x v="0"/>
    <n v="59"/>
    <n v="66"/>
    <n v="67"/>
    <n v="64"/>
    <n v="1"/>
    <s v="Pass"/>
    <x v="0"/>
    <n v="8"/>
  </r>
  <r>
    <s v="male"/>
    <s v="group D"/>
    <x v="1"/>
    <x v="0"/>
    <x v="1"/>
    <n v="71"/>
    <n v="61"/>
    <n v="69"/>
    <n v="67"/>
    <n v="1"/>
    <s v="Pass"/>
    <x v="0"/>
    <n v="10"/>
  </r>
  <r>
    <s v="female"/>
    <s v="group D"/>
    <x v="5"/>
    <x v="0"/>
    <x v="0"/>
    <n v="76"/>
    <n v="72"/>
    <n v="71"/>
    <n v="73"/>
    <n v="1"/>
    <s v="Pass"/>
    <x v="0"/>
    <n v="5"/>
  </r>
  <r>
    <s v="female"/>
    <s v="group C"/>
    <x v="1"/>
    <x v="1"/>
    <x v="0"/>
    <n v="59"/>
    <n v="62"/>
    <n v="64"/>
    <n v="61.666666666666664"/>
    <n v="1"/>
    <s v="Pass"/>
    <x v="0"/>
    <n v="5"/>
  </r>
  <r>
    <s v="female"/>
    <s v="group E"/>
    <x v="1"/>
    <x v="1"/>
    <x v="1"/>
    <n v="42"/>
    <n v="55"/>
    <n v="54"/>
    <n v="50.333333333333336"/>
    <n v="0"/>
    <s v="At Risk"/>
    <x v="2"/>
    <n v="13"/>
  </r>
  <r>
    <s v="male"/>
    <s v="group A"/>
    <x v="4"/>
    <x v="0"/>
    <x v="0"/>
    <n v="57"/>
    <n v="43"/>
    <n v="47"/>
    <n v="49"/>
    <n v="0"/>
    <s v="At Risk"/>
    <x v="2"/>
    <n v="14"/>
  </r>
  <r>
    <s v="male"/>
    <s v="group D"/>
    <x v="1"/>
    <x v="0"/>
    <x v="0"/>
    <n v="88"/>
    <n v="73"/>
    <n v="78"/>
    <n v="79.666666666666671"/>
    <n v="1"/>
    <s v="Pass"/>
    <x v="0"/>
    <n v="15"/>
  </r>
  <r>
    <s v="female"/>
    <s v="group C"/>
    <x v="1"/>
    <x v="1"/>
    <x v="0"/>
    <n v="22"/>
    <n v="39"/>
    <n v="33"/>
    <n v="31.333333333333332"/>
    <n v="0"/>
    <s v="At Risk"/>
    <x v="2"/>
    <n v="17"/>
  </r>
  <r>
    <s v="male"/>
    <s v="group B"/>
    <x v="5"/>
    <x v="0"/>
    <x v="0"/>
    <n v="88"/>
    <n v="84"/>
    <n v="75"/>
    <n v="82.333333333333329"/>
    <n v="1"/>
    <s v="Pass"/>
    <x v="1"/>
    <n v="13"/>
  </r>
  <r>
    <s v="male"/>
    <s v="group C"/>
    <x v="3"/>
    <x v="1"/>
    <x v="0"/>
    <n v="73"/>
    <n v="68"/>
    <n v="66"/>
    <n v="69"/>
    <n v="1"/>
    <s v="Pass"/>
    <x v="0"/>
    <n v="7"/>
  </r>
  <r>
    <s v="female"/>
    <s v="group D"/>
    <x v="0"/>
    <x v="0"/>
    <x v="1"/>
    <n v="68"/>
    <n v="75"/>
    <n v="81"/>
    <n v="74.666666666666671"/>
    <n v="1"/>
    <s v="Pass"/>
    <x v="0"/>
    <n v="13"/>
  </r>
  <r>
    <s v="male"/>
    <s v="group E"/>
    <x v="3"/>
    <x v="1"/>
    <x v="1"/>
    <n v="100"/>
    <n v="100"/>
    <n v="93"/>
    <n v="97.666666666666671"/>
    <n v="1"/>
    <s v="Pass"/>
    <x v="1"/>
    <n v="7"/>
  </r>
  <r>
    <s v="male"/>
    <s v="group A"/>
    <x v="5"/>
    <x v="0"/>
    <x v="1"/>
    <n v="62"/>
    <n v="67"/>
    <n v="69"/>
    <n v="66"/>
    <n v="1"/>
    <s v="Pass"/>
    <x v="0"/>
    <n v="7"/>
  </r>
  <r>
    <s v="male"/>
    <s v="group A"/>
    <x v="0"/>
    <x v="0"/>
    <x v="0"/>
    <n v="77"/>
    <n v="67"/>
    <n v="68"/>
    <n v="70.666666666666671"/>
    <n v="1"/>
    <s v="Pass"/>
    <x v="0"/>
    <n v="10"/>
  </r>
  <r>
    <s v="female"/>
    <s v="group B"/>
    <x v="3"/>
    <x v="0"/>
    <x v="1"/>
    <n v="59"/>
    <n v="70"/>
    <n v="66"/>
    <n v="65"/>
    <n v="1"/>
    <s v="Pass"/>
    <x v="0"/>
    <n v="11"/>
  </r>
  <r>
    <s v="male"/>
    <s v="group D"/>
    <x v="0"/>
    <x v="0"/>
    <x v="0"/>
    <n v="54"/>
    <n v="49"/>
    <n v="47"/>
    <n v="50"/>
    <n v="0"/>
    <s v="At Risk"/>
    <x v="2"/>
    <n v="7"/>
  </r>
  <r>
    <s v="male"/>
    <s v="group D"/>
    <x v="5"/>
    <x v="0"/>
    <x v="0"/>
    <n v="62"/>
    <n v="67"/>
    <n v="61"/>
    <n v="63.333333333333336"/>
    <n v="1"/>
    <s v="Pass"/>
    <x v="0"/>
    <n v="6"/>
  </r>
  <r>
    <s v="female"/>
    <s v="group C"/>
    <x v="1"/>
    <x v="0"/>
    <x v="1"/>
    <n v="70"/>
    <n v="89"/>
    <n v="88"/>
    <n v="82.333333333333329"/>
    <n v="1"/>
    <s v="Pass"/>
    <x v="1"/>
    <n v="19"/>
  </r>
  <r>
    <s v="female"/>
    <s v="group E"/>
    <x v="4"/>
    <x v="1"/>
    <x v="1"/>
    <n v="66"/>
    <n v="74"/>
    <n v="78"/>
    <n v="72.666666666666671"/>
    <n v="1"/>
    <s v="Pass"/>
    <x v="0"/>
    <n v="12"/>
  </r>
  <r>
    <s v="male"/>
    <s v="group B"/>
    <x v="1"/>
    <x v="1"/>
    <x v="0"/>
    <n v="60"/>
    <n v="60"/>
    <n v="60"/>
    <n v="60"/>
    <n v="1"/>
    <s v="Pass"/>
    <x v="0"/>
    <n v="0"/>
  </r>
  <r>
    <s v="female"/>
    <s v="group B"/>
    <x v="3"/>
    <x v="0"/>
    <x v="1"/>
    <n v="61"/>
    <n v="86"/>
    <n v="87"/>
    <n v="78"/>
    <n v="1"/>
    <s v="Pass"/>
    <x v="0"/>
    <n v="26"/>
  </r>
  <r>
    <s v="male"/>
    <s v="group D"/>
    <x v="3"/>
    <x v="1"/>
    <x v="0"/>
    <n v="66"/>
    <n v="62"/>
    <n v="64"/>
    <n v="64"/>
    <n v="1"/>
    <s v="Pass"/>
    <x v="0"/>
    <n v="4"/>
  </r>
  <r>
    <s v="male"/>
    <s v="group B"/>
    <x v="3"/>
    <x v="1"/>
    <x v="1"/>
    <n v="82"/>
    <n v="78"/>
    <n v="74"/>
    <n v="78"/>
    <n v="1"/>
    <s v="Pass"/>
    <x v="0"/>
    <n v="8"/>
  </r>
  <r>
    <s v="female"/>
    <s v="group E"/>
    <x v="1"/>
    <x v="1"/>
    <x v="1"/>
    <n v="75"/>
    <n v="88"/>
    <n v="85"/>
    <n v="82.666666666666671"/>
    <n v="1"/>
    <s v="Pass"/>
    <x v="1"/>
    <n v="13"/>
  </r>
  <r>
    <s v="male"/>
    <s v="group B"/>
    <x v="2"/>
    <x v="1"/>
    <x v="0"/>
    <n v="49"/>
    <n v="53"/>
    <n v="52"/>
    <n v="51.333333333333336"/>
    <n v="0"/>
    <s v="At Risk"/>
    <x v="2"/>
    <n v="4"/>
  </r>
  <r>
    <s v="male"/>
    <s v="group C"/>
    <x v="4"/>
    <x v="0"/>
    <x v="0"/>
    <n v="52"/>
    <n v="53"/>
    <n v="49"/>
    <n v="51.333333333333336"/>
    <n v="0"/>
    <s v="At Risk"/>
    <x v="2"/>
    <n v="4"/>
  </r>
  <r>
    <s v="female"/>
    <s v="group E"/>
    <x v="2"/>
    <x v="0"/>
    <x v="0"/>
    <n v="81"/>
    <n v="92"/>
    <n v="91"/>
    <n v="88"/>
    <n v="1"/>
    <s v="Pass"/>
    <x v="1"/>
    <n v="11"/>
  </r>
  <r>
    <s v="female"/>
    <s v="group C"/>
    <x v="0"/>
    <x v="0"/>
    <x v="1"/>
    <n v="96"/>
    <n v="100"/>
    <n v="100"/>
    <n v="98.666666666666671"/>
    <n v="1"/>
    <s v="Pass"/>
    <x v="1"/>
    <n v="4"/>
  </r>
  <r>
    <s v="male"/>
    <s v="group C"/>
    <x v="4"/>
    <x v="1"/>
    <x v="1"/>
    <n v="53"/>
    <n v="51"/>
    <n v="51"/>
    <n v="51.666666666666664"/>
    <n v="0"/>
    <s v="At Risk"/>
    <x v="2"/>
    <n v="2"/>
  </r>
  <r>
    <s v="female"/>
    <s v="group B"/>
    <x v="2"/>
    <x v="1"/>
    <x v="1"/>
    <n v="58"/>
    <n v="76"/>
    <n v="78"/>
    <n v="70.666666666666671"/>
    <n v="1"/>
    <s v="Pass"/>
    <x v="0"/>
    <n v="20"/>
  </r>
  <r>
    <s v="female"/>
    <s v="group B"/>
    <x v="4"/>
    <x v="0"/>
    <x v="1"/>
    <n v="68"/>
    <n v="83"/>
    <n v="78"/>
    <n v="76.333333333333329"/>
    <n v="1"/>
    <s v="Pass"/>
    <x v="0"/>
    <n v="15"/>
  </r>
  <r>
    <s v="female"/>
    <s v="group C"/>
    <x v="1"/>
    <x v="1"/>
    <x v="1"/>
    <n v="67"/>
    <n v="75"/>
    <n v="70"/>
    <n v="70.666666666666671"/>
    <n v="1"/>
    <s v="Pass"/>
    <x v="0"/>
    <n v="8"/>
  </r>
  <r>
    <s v="male"/>
    <s v="group A"/>
    <x v="4"/>
    <x v="0"/>
    <x v="1"/>
    <n v="72"/>
    <n v="73"/>
    <n v="74"/>
    <n v="73"/>
    <n v="1"/>
    <s v="Pass"/>
    <x v="0"/>
    <n v="2"/>
  </r>
  <r>
    <s v="male"/>
    <s v="group E"/>
    <x v="5"/>
    <x v="0"/>
    <x v="0"/>
    <n v="94"/>
    <n v="88"/>
    <n v="78"/>
    <n v="86.666666666666671"/>
    <n v="1"/>
    <s v="Pass"/>
    <x v="1"/>
    <n v="16"/>
  </r>
  <r>
    <s v="female"/>
    <s v="group D"/>
    <x v="1"/>
    <x v="0"/>
    <x v="0"/>
    <n v="79"/>
    <n v="86"/>
    <n v="81"/>
    <n v="82"/>
    <n v="1"/>
    <s v="Pass"/>
    <x v="1"/>
    <n v="7"/>
  </r>
  <r>
    <s v="female"/>
    <s v="group C"/>
    <x v="3"/>
    <x v="0"/>
    <x v="0"/>
    <n v="63"/>
    <n v="67"/>
    <n v="70"/>
    <n v="66.666666666666671"/>
    <n v="1"/>
    <s v="Pass"/>
    <x v="0"/>
    <n v="7"/>
  </r>
  <r>
    <s v="female"/>
    <s v="group C"/>
    <x v="0"/>
    <x v="1"/>
    <x v="1"/>
    <n v="43"/>
    <n v="51"/>
    <n v="54"/>
    <n v="49.333333333333336"/>
    <n v="0"/>
    <s v="At Risk"/>
    <x v="2"/>
    <n v="11"/>
  </r>
  <r>
    <s v="female"/>
    <s v="group C"/>
    <x v="2"/>
    <x v="0"/>
    <x v="1"/>
    <n v="81"/>
    <n v="91"/>
    <n v="87"/>
    <n v="86.333333333333329"/>
    <n v="1"/>
    <s v="Pass"/>
    <x v="1"/>
    <n v="10"/>
  </r>
  <r>
    <s v="female"/>
    <s v="group B"/>
    <x v="4"/>
    <x v="1"/>
    <x v="1"/>
    <n v="46"/>
    <n v="54"/>
    <n v="58"/>
    <n v="52.666666666666664"/>
    <n v="0"/>
    <s v="At Risk"/>
    <x v="2"/>
    <n v="12"/>
  </r>
  <r>
    <s v="female"/>
    <s v="group C"/>
    <x v="3"/>
    <x v="0"/>
    <x v="1"/>
    <n v="71"/>
    <n v="77"/>
    <n v="77"/>
    <n v="75"/>
    <n v="1"/>
    <s v="Pass"/>
    <x v="0"/>
    <n v="6"/>
  </r>
  <r>
    <s v="female"/>
    <s v="group B"/>
    <x v="2"/>
    <x v="1"/>
    <x v="1"/>
    <n v="52"/>
    <n v="70"/>
    <n v="62"/>
    <n v="61.333333333333336"/>
    <n v="1"/>
    <s v="Pass"/>
    <x v="0"/>
    <n v="18"/>
  </r>
  <r>
    <s v="female"/>
    <s v="group D"/>
    <x v="5"/>
    <x v="0"/>
    <x v="1"/>
    <n v="97"/>
    <n v="100"/>
    <n v="100"/>
    <n v="99"/>
    <n v="1"/>
    <s v="Pass"/>
    <x v="1"/>
    <n v="3"/>
  </r>
  <r>
    <s v="male"/>
    <s v="group C"/>
    <x v="2"/>
    <x v="1"/>
    <x v="1"/>
    <n v="62"/>
    <n v="68"/>
    <n v="75"/>
    <n v="68.333333333333329"/>
    <n v="1"/>
    <s v="Pass"/>
    <x v="0"/>
    <n v="13"/>
  </r>
  <r>
    <s v="female"/>
    <s v="group C"/>
    <x v="1"/>
    <x v="1"/>
    <x v="0"/>
    <n v="46"/>
    <n v="64"/>
    <n v="66"/>
    <n v="58.666666666666664"/>
    <n v="0"/>
    <s v="At Risk"/>
    <x v="2"/>
    <n v="20"/>
  </r>
  <r>
    <s v="female"/>
    <s v="group E"/>
    <x v="4"/>
    <x v="0"/>
    <x v="0"/>
    <n v="50"/>
    <n v="50"/>
    <n v="47"/>
    <n v="49"/>
    <n v="0"/>
    <s v="At Risk"/>
    <x v="2"/>
    <n v="3"/>
  </r>
  <r>
    <s v="female"/>
    <s v="group D"/>
    <x v="3"/>
    <x v="0"/>
    <x v="0"/>
    <n v="65"/>
    <n v="69"/>
    <n v="70"/>
    <n v="68"/>
    <n v="1"/>
    <s v="Pass"/>
    <x v="0"/>
    <n v="5"/>
  </r>
  <r>
    <s v="male"/>
    <s v="group C"/>
    <x v="5"/>
    <x v="1"/>
    <x v="1"/>
    <n v="45"/>
    <n v="52"/>
    <n v="49"/>
    <n v="48.666666666666664"/>
    <n v="0"/>
    <s v="At Risk"/>
    <x v="2"/>
    <n v="7"/>
  </r>
  <r>
    <s v="male"/>
    <s v="group C"/>
    <x v="3"/>
    <x v="1"/>
    <x v="1"/>
    <n v="65"/>
    <n v="67"/>
    <n v="65"/>
    <n v="65.666666666666671"/>
    <n v="1"/>
    <s v="Pass"/>
    <x v="0"/>
    <n v="2"/>
  </r>
  <r>
    <s v="male"/>
    <s v="group E"/>
    <x v="4"/>
    <x v="0"/>
    <x v="0"/>
    <n v="80"/>
    <n v="76"/>
    <n v="65"/>
    <n v="73.666666666666671"/>
    <n v="1"/>
    <s v="Pass"/>
    <x v="0"/>
    <n v="15"/>
  </r>
  <r>
    <s v="male"/>
    <s v="group D"/>
    <x v="5"/>
    <x v="0"/>
    <x v="1"/>
    <n v="62"/>
    <n v="66"/>
    <n v="68"/>
    <n v="65.333333333333329"/>
    <n v="1"/>
    <s v="Pass"/>
    <x v="0"/>
    <n v="6"/>
  </r>
  <r>
    <s v="male"/>
    <s v="group B"/>
    <x v="5"/>
    <x v="1"/>
    <x v="0"/>
    <n v="48"/>
    <n v="52"/>
    <n v="45"/>
    <n v="48.333333333333336"/>
    <n v="0"/>
    <s v="At Risk"/>
    <x v="2"/>
    <n v="7"/>
  </r>
  <r>
    <s v="female"/>
    <s v="group C"/>
    <x v="0"/>
    <x v="0"/>
    <x v="0"/>
    <n v="77"/>
    <n v="88"/>
    <n v="87"/>
    <n v="84"/>
    <n v="1"/>
    <s v="Pass"/>
    <x v="1"/>
    <n v="11"/>
  </r>
  <r>
    <s v="female"/>
    <s v="group E"/>
    <x v="3"/>
    <x v="0"/>
    <x v="0"/>
    <n v="66"/>
    <n v="65"/>
    <n v="69"/>
    <n v="66.666666666666671"/>
    <n v="1"/>
    <s v="Pass"/>
    <x v="0"/>
    <n v="4"/>
  </r>
  <r>
    <s v="male"/>
    <s v="group D"/>
    <x v="1"/>
    <x v="0"/>
    <x v="1"/>
    <n v="76"/>
    <n v="83"/>
    <n v="79"/>
    <n v="79.333333333333329"/>
    <n v="1"/>
    <s v="Pass"/>
    <x v="0"/>
    <n v="7"/>
  </r>
  <r>
    <s v="female"/>
    <s v="group B"/>
    <x v="5"/>
    <x v="0"/>
    <x v="0"/>
    <n v="62"/>
    <n v="64"/>
    <n v="66"/>
    <n v="64"/>
    <n v="1"/>
    <s v="Pass"/>
    <x v="0"/>
    <n v="4"/>
  </r>
  <r>
    <s v="male"/>
    <s v="group D"/>
    <x v="1"/>
    <x v="0"/>
    <x v="1"/>
    <n v="77"/>
    <n v="62"/>
    <n v="62"/>
    <n v="67"/>
    <n v="1"/>
    <s v="Pass"/>
    <x v="0"/>
    <n v="15"/>
  </r>
  <r>
    <s v="female"/>
    <s v="group C"/>
    <x v="2"/>
    <x v="0"/>
    <x v="1"/>
    <n v="69"/>
    <n v="84"/>
    <n v="85"/>
    <n v="79.333333333333329"/>
    <n v="1"/>
    <s v="Pass"/>
    <x v="0"/>
    <n v="16"/>
  </r>
  <r>
    <s v="male"/>
    <s v="group D"/>
    <x v="3"/>
    <x v="0"/>
    <x v="0"/>
    <n v="61"/>
    <n v="55"/>
    <n v="52"/>
    <n v="56"/>
    <n v="0"/>
    <s v="At Risk"/>
    <x v="2"/>
    <n v="9"/>
  </r>
  <r>
    <s v="male"/>
    <s v="group C"/>
    <x v="5"/>
    <x v="1"/>
    <x v="1"/>
    <n v="59"/>
    <n v="69"/>
    <n v="65"/>
    <n v="64.333333333333329"/>
    <n v="1"/>
    <s v="Pass"/>
    <x v="0"/>
    <n v="10"/>
  </r>
  <r>
    <s v="male"/>
    <s v="group E"/>
    <x v="4"/>
    <x v="1"/>
    <x v="0"/>
    <n v="55"/>
    <n v="56"/>
    <n v="51"/>
    <n v="54"/>
    <n v="0"/>
    <s v="At Risk"/>
    <x v="2"/>
    <n v="5"/>
  </r>
  <r>
    <s v="female"/>
    <s v="group B"/>
    <x v="1"/>
    <x v="1"/>
    <x v="0"/>
    <n v="45"/>
    <n v="53"/>
    <n v="55"/>
    <n v="51"/>
    <n v="0"/>
    <s v="At Risk"/>
    <x v="2"/>
    <n v="10"/>
  </r>
  <r>
    <s v="female"/>
    <s v="group B"/>
    <x v="0"/>
    <x v="1"/>
    <x v="0"/>
    <n v="78"/>
    <n v="79"/>
    <n v="76"/>
    <n v="77.666666666666671"/>
    <n v="1"/>
    <s v="Pass"/>
    <x v="0"/>
    <n v="3"/>
  </r>
  <r>
    <s v="female"/>
    <s v="group C"/>
    <x v="3"/>
    <x v="0"/>
    <x v="1"/>
    <n v="67"/>
    <n v="84"/>
    <n v="86"/>
    <n v="79"/>
    <n v="1"/>
    <s v="Pass"/>
    <x v="0"/>
    <n v="19"/>
  </r>
  <r>
    <s v="female"/>
    <s v="group D"/>
    <x v="1"/>
    <x v="1"/>
    <x v="0"/>
    <n v="65"/>
    <n v="81"/>
    <n v="77"/>
    <n v="74.333333333333329"/>
    <n v="1"/>
    <s v="Pass"/>
    <x v="0"/>
    <n v="16"/>
  </r>
  <r>
    <s v="male"/>
    <s v="group C"/>
    <x v="3"/>
    <x v="0"/>
    <x v="0"/>
    <n v="69"/>
    <n v="77"/>
    <n v="69"/>
    <n v="71.666666666666671"/>
    <n v="1"/>
    <s v="Pass"/>
    <x v="0"/>
    <n v="8"/>
  </r>
  <r>
    <s v="female"/>
    <s v="group B"/>
    <x v="3"/>
    <x v="0"/>
    <x v="0"/>
    <n v="57"/>
    <n v="69"/>
    <n v="68"/>
    <n v="64.666666666666671"/>
    <n v="1"/>
    <s v="Pass"/>
    <x v="0"/>
    <n v="12"/>
  </r>
  <r>
    <s v="male"/>
    <s v="group C"/>
    <x v="1"/>
    <x v="0"/>
    <x v="0"/>
    <n v="59"/>
    <n v="41"/>
    <n v="42"/>
    <n v="47.333333333333336"/>
    <n v="0"/>
    <s v="At Risk"/>
    <x v="2"/>
    <n v="18"/>
  </r>
  <r>
    <s v="male"/>
    <s v="group D"/>
    <x v="5"/>
    <x v="0"/>
    <x v="1"/>
    <n v="74"/>
    <n v="71"/>
    <n v="78"/>
    <n v="74.333333333333329"/>
    <n v="1"/>
    <s v="Pass"/>
    <x v="0"/>
    <n v="7"/>
  </r>
  <r>
    <s v="male"/>
    <s v="group E"/>
    <x v="0"/>
    <x v="0"/>
    <x v="0"/>
    <n v="82"/>
    <n v="62"/>
    <n v="62"/>
    <n v="68.666666666666671"/>
    <n v="1"/>
    <s v="Pass"/>
    <x v="0"/>
    <n v="20"/>
  </r>
  <r>
    <s v="male"/>
    <s v="group E"/>
    <x v="4"/>
    <x v="0"/>
    <x v="1"/>
    <n v="81"/>
    <n v="80"/>
    <n v="76"/>
    <n v="79"/>
    <n v="1"/>
    <s v="Pass"/>
    <x v="0"/>
    <n v="5"/>
  </r>
  <r>
    <s v="female"/>
    <s v="group B"/>
    <x v="1"/>
    <x v="1"/>
    <x v="0"/>
    <n v="74"/>
    <n v="81"/>
    <n v="76"/>
    <n v="77"/>
    <n v="1"/>
    <s v="Pass"/>
    <x v="0"/>
    <n v="7"/>
  </r>
  <r>
    <s v="female"/>
    <s v="group B"/>
    <x v="1"/>
    <x v="1"/>
    <x v="0"/>
    <n v="58"/>
    <n v="61"/>
    <n v="66"/>
    <n v="61.666666666666664"/>
    <n v="1"/>
    <s v="Pass"/>
    <x v="0"/>
    <n v="8"/>
  </r>
  <r>
    <s v="male"/>
    <s v="group D"/>
    <x v="5"/>
    <x v="1"/>
    <x v="1"/>
    <n v="80"/>
    <n v="79"/>
    <n v="79"/>
    <n v="79.333333333333329"/>
    <n v="1"/>
    <s v="Pass"/>
    <x v="0"/>
    <n v="1"/>
  </r>
  <r>
    <s v="male"/>
    <s v="group C"/>
    <x v="1"/>
    <x v="1"/>
    <x v="0"/>
    <n v="35"/>
    <n v="28"/>
    <n v="27"/>
    <n v="30"/>
    <n v="0"/>
    <s v="At Risk"/>
    <x v="2"/>
    <n v="8"/>
  </r>
  <r>
    <s v="female"/>
    <s v="group C"/>
    <x v="4"/>
    <x v="1"/>
    <x v="0"/>
    <n v="42"/>
    <n v="62"/>
    <n v="60"/>
    <n v="54.666666666666664"/>
    <n v="0"/>
    <s v="At Risk"/>
    <x v="2"/>
    <n v="20"/>
  </r>
  <r>
    <s v="male"/>
    <s v="group C"/>
    <x v="3"/>
    <x v="1"/>
    <x v="1"/>
    <n v="60"/>
    <n v="51"/>
    <n v="56"/>
    <n v="55.666666666666664"/>
    <n v="0"/>
    <s v="At Risk"/>
    <x v="2"/>
    <n v="9"/>
  </r>
  <r>
    <s v="male"/>
    <s v="group E"/>
    <x v="4"/>
    <x v="0"/>
    <x v="1"/>
    <n v="87"/>
    <n v="91"/>
    <n v="81"/>
    <n v="86.333333333333329"/>
    <n v="1"/>
    <s v="Pass"/>
    <x v="1"/>
    <n v="10"/>
  </r>
  <r>
    <s v="male"/>
    <s v="group B"/>
    <x v="5"/>
    <x v="0"/>
    <x v="1"/>
    <n v="84"/>
    <n v="83"/>
    <n v="75"/>
    <n v="80.666666666666671"/>
    <n v="1"/>
    <s v="Pass"/>
    <x v="1"/>
    <n v="9"/>
  </r>
  <r>
    <s v="female"/>
    <s v="group E"/>
    <x v="3"/>
    <x v="1"/>
    <x v="1"/>
    <n v="83"/>
    <n v="86"/>
    <n v="88"/>
    <n v="85.666666666666671"/>
    <n v="1"/>
    <s v="Pass"/>
    <x v="1"/>
    <n v="5"/>
  </r>
  <r>
    <s v="female"/>
    <s v="group C"/>
    <x v="4"/>
    <x v="1"/>
    <x v="0"/>
    <n v="34"/>
    <n v="42"/>
    <n v="39"/>
    <n v="38.333333333333336"/>
    <n v="0"/>
    <s v="At Risk"/>
    <x v="2"/>
    <n v="8"/>
  </r>
  <r>
    <s v="male"/>
    <s v="group B"/>
    <x v="4"/>
    <x v="1"/>
    <x v="0"/>
    <n v="66"/>
    <n v="77"/>
    <n v="70"/>
    <n v="71"/>
    <n v="1"/>
    <s v="Pass"/>
    <x v="0"/>
    <n v="11"/>
  </r>
  <r>
    <s v="male"/>
    <s v="group B"/>
    <x v="5"/>
    <x v="0"/>
    <x v="1"/>
    <n v="61"/>
    <n v="56"/>
    <n v="56"/>
    <n v="57.666666666666664"/>
    <n v="0"/>
    <s v="At Risk"/>
    <x v="2"/>
    <n v="5"/>
  </r>
  <r>
    <s v="female"/>
    <s v="group D"/>
    <x v="4"/>
    <x v="0"/>
    <x v="1"/>
    <n v="56"/>
    <n v="68"/>
    <n v="74"/>
    <n v="66"/>
    <n v="1"/>
    <s v="Pass"/>
    <x v="0"/>
    <n v="18"/>
  </r>
  <r>
    <s v="male"/>
    <s v="group B"/>
    <x v="3"/>
    <x v="0"/>
    <x v="0"/>
    <n v="87"/>
    <n v="85"/>
    <n v="73"/>
    <n v="81.666666666666671"/>
    <n v="1"/>
    <s v="Pass"/>
    <x v="1"/>
    <n v="14"/>
  </r>
  <r>
    <s v="female"/>
    <s v="group C"/>
    <x v="5"/>
    <x v="1"/>
    <x v="0"/>
    <n v="55"/>
    <n v="65"/>
    <n v="62"/>
    <n v="60.666666666666664"/>
    <n v="1"/>
    <s v="Pass"/>
    <x v="0"/>
    <n v="10"/>
  </r>
  <r>
    <s v="male"/>
    <s v="group D"/>
    <x v="5"/>
    <x v="0"/>
    <x v="0"/>
    <n v="86"/>
    <n v="80"/>
    <n v="75"/>
    <n v="80.333333333333329"/>
    <n v="1"/>
    <s v="Pass"/>
    <x v="1"/>
    <n v="11"/>
  </r>
  <r>
    <s v="female"/>
    <s v="group B"/>
    <x v="3"/>
    <x v="0"/>
    <x v="1"/>
    <n v="52"/>
    <n v="66"/>
    <n v="73"/>
    <n v="63.666666666666664"/>
    <n v="1"/>
    <s v="Pass"/>
    <x v="0"/>
    <n v="21"/>
  </r>
  <r>
    <s v="female"/>
    <s v="group E"/>
    <x v="2"/>
    <x v="1"/>
    <x v="0"/>
    <n v="45"/>
    <n v="56"/>
    <n v="54"/>
    <n v="51.666666666666664"/>
    <n v="0"/>
    <s v="At Risk"/>
    <x v="2"/>
    <n v="11"/>
  </r>
  <r>
    <s v="female"/>
    <s v="group C"/>
    <x v="1"/>
    <x v="0"/>
    <x v="0"/>
    <n v="72"/>
    <n v="72"/>
    <n v="71"/>
    <n v="71.666666666666671"/>
    <n v="1"/>
    <s v="Pass"/>
    <x v="0"/>
    <n v="1"/>
  </r>
  <r>
    <s v="male"/>
    <s v="group D"/>
    <x v="4"/>
    <x v="0"/>
    <x v="0"/>
    <n v="57"/>
    <n v="50"/>
    <n v="54"/>
    <n v="53.666666666666664"/>
    <n v="0"/>
    <s v="At Risk"/>
    <x v="2"/>
    <n v="7"/>
  </r>
  <r>
    <s v="male"/>
    <s v="group A"/>
    <x v="5"/>
    <x v="1"/>
    <x v="0"/>
    <n v="68"/>
    <n v="72"/>
    <n v="64"/>
    <n v="68"/>
    <n v="1"/>
    <s v="Pass"/>
    <x v="0"/>
    <n v="8"/>
  </r>
  <r>
    <s v="female"/>
    <s v="group C"/>
    <x v="1"/>
    <x v="0"/>
    <x v="1"/>
    <n v="88"/>
    <n v="95"/>
    <n v="94"/>
    <n v="92.333333333333329"/>
    <n v="1"/>
    <s v="Pass"/>
    <x v="1"/>
    <n v="7"/>
  </r>
  <r>
    <s v="male"/>
    <s v="group D"/>
    <x v="1"/>
    <x v="0"/>
    <x v="0"/>
    <n v="76"/>
    <n v="64"/>
    <n v="66"/>
    <n v="68.666666666666671"/>
    <n v="1"/>
    <s v="Pass"/>
    <x v="0"/>
    <n v="12"/>
  </r>
  <r>
    <s v="male"/>
    <s v="group C"/>
    <x v="3"/>
    <x v="0"/>
    <x v="0"/>
    <n v="46"/>
    <n v="43"/>
    <n v="42"/>
    <n v="43.666666666666664"/>
    <n v="0"/>
    <s v="At Risk"/>
    <x v="2"/>
    <n v="4"/>
  </r>
  <r>
    <s v="female"/>
    <s v="group B"/>
    <x v="0"/>
    <x v="0"/>
    <x v="0"/>
    <n v="67"/>
    <n v="86"/>
    <n v="83"/>
    <n v="78.666666666666671"/>
    <n v="1"/>
    <s v="Pass"/>
    <x v="0"/>
    <n v="19"/>
  </r>
  <r>
    <s v="male"/>
    <s v="group E"/>
    <x v="5"/>
    <x v="0"/>
    <x v="0"/>
    <n v="92"/>
    <n v="87"/>
    <n v="78"/>
    <n v="85.666666666666671"/>
    <n v="1"/>
    <s v="Pass"/>
    <x v="1"/>
    <n v="14"/>
  </r>
  <r>
    <s v="male"/>
    <s v="group C"/>
    <x v="0"/>
    <x v="0"/>
    <x v="1"/>
    <n v="83"/>
    <n v="82"/>
    <n v="84"/>
    <n v="83"/>
    <n v="1"/>
    <s v="Pass"/>
    <x v="1"/>
    <n v="2"/>
  </r>
  <r>
    <s v="male"/>
    <s v="group D"/>
    <x v="3"/>
    <x v="0"/>
    <x v="0"/>
    <n v="80"/>
    <n v="75"/>
    <n v="77"/>
    <n v="77.333333333333329"/>
    <n v="1"/>
    <s v="Pass"/>
    <x v="0"/>
    <n v="5"/>
  </r>
  <r>
    <s v="male"/>
    <s v="group D"/>
    <x v="0"/>
    <x v="1"/>
    <x v="0"/>
    <n v="63"/>
    <n v="66"/>
    <n v="67"/>
    <n v="65.333333333333329"/>
    <n v="1"/>
    <s v="Pass"/>
    <x v="0"/>
    <n v="4"/>
  </r>
  <r>
    <s v="female"/>
    <s v="group D"/>
    <x v="5"/>
    <x v="0"/>
    <x v="1"/>
    <n v="64"/>
    <n v="60"/>
    <n v="74"/>
    <n v="66"/>
    <n v="1"/>
    <s v="Pass"/>
    <x v="0"/>
    <n v="14"/>
  </r>
  <r>
    <s v="male"/>
    <s v="group B"/>
    <x v="1"/>
    <x v="0"/>
    <x v="0"/>
    <n v="54"/>
    <n v="52"/>
    <n v="51"/>
    <n v="52.333333333333336"/>
    <n v="0"/>
    <s v="At Risk"/>
    <x v="2"/>
    <n v="3"/>
  </r>
  <r>
    <s v="male"/>
    <s v="group C"/>
    <x v="3"/>
    <x v="0"/>
    <x v="0"/>
    <n v="84"/>
    <n v="80"/>
    <n v="80"/>
    <n v="81.333333333333329"/>
    <n v="1"/>
    <s v="Pass"/>
    <x v="1"/>
    <n v="4"/>
  </r>
  <r>
    <s v="male"/>
    <s v="group D"/>
    <x v="4"/>
    <x v="1"/>
    <x v="1"/>
    <n v="73"/>
    <n v="68"/>
    <n v="66"/>
    <n v="69"/>
    <n v="1"/>
    <s v="Pass"/>
    <x v="0"/>
    <n v="7"/>
  </r>
  <r>
    <s v="female"/>
    <s v="group E"/>
    <x v="0"/>
    <x v="0"/>
    <x v="0"/>
    <n v="80"/>
    <n v="83"/>
    <n v="83"/>
    <n v="82"/>
    <n v="1"/>
    <s v="Pass"/>
    <x v="1"/>
    <n v="3"/>
  </r>
  <r>
    <s v="female"/>
    <s v="group D"/>
    <x v="4"/>
    <x v="0"/>
    <x v="0"/>
    <n v="56"/>
    <n v="52"/>
    <n v="55"/>
    <n v="54.333333333333336"/>
    <n v="0"/>
    <s v="At Risk"/>
    <x v="2"/>
    <n v="4"/>
  </r>
  <r>
    <s v="male"/>
    <s v="group E"/>
    <x v="1"/>
    <x v="0"/>
    <x v="0"/>
    <n v="59"/>
    <n v="51"/>
    <n v="43"/>
    <n v="51"/>
    <n v="0"/>
    <s v="At Risk"/>
    <x v="2"/>
    <n v="16"/>
  </r>
  <r>
    <s v="male"/>
    <s v="group D"/>
    <x v="5"/>
    <x v="0"/>
    <x v="0"/>
    <n v="75"/>
    <n v="74"/>
    <n v="69"/>
    <n v="72.666666666666671"/>
    <n v="1"/>
    <s v="Pass"/>
    <x v="0"/>
    <n v="6"/>
  </r>
  <r>
    <s v="male"/>
    <s v="group C"/>
    <x v="3"/>
    <x v="0"/>
    <x v="0"/>
    <n v="85"/>
    <n v="76"/>
    <n v="71"/>
    <n v="77.333333333333329"/>
    <n v="1"/>
    <s v="Pass"/>
    <x v="0"/>
    <n v="14"/>
  </r>
  <r>
    <s v="male"/>
    <s v="group E"/>
    <x v="3"/>
    <x v="0"/>
    <x v="0"/>
    <n v="89"/>
    <n v="76"/>
    <n v="74"/>
    <n v="79.666666666666671"/>
    <n v="1"/>
    <s v="Pass"/>
    <x v="0"/>
    <n v="15"/>
  </r>
  <r>
    <s v="female"/>
    <s v="group B"/>
    <x v="4"/>
    <x v="0"/>
    <x v="1"/>
    <n v="58"/>
    <n v="70"/>
    <n v="68"/>
    <n v="65.333333333333329"/>
    <n v="1"/>
    <s v="Pass"/>
    <x v="0"/>
    <n v="12"/>
  </r>
  <r>
    <s v="female"/>
    <s v="group B"/>
    <x v="4"/>
    <x v="0"/>
    <x v="0"/>
    <n v="65"/>
    <n v="64"/>
    <n v="62"/>
    <n v="63.666666666666664"/>
    <n v="1"/>
    <s v="Pass"/>
    <x v="0"/>
    <n v="3"/>
  </r>
  <r>
    <s v="male"/>
    <s v="group C"/>
    <x v="4"/>
    <x v="0"/>
    <x v="0"/>
    <n v="68"/>
    <n v="60"/>
    <n v="53"/>
    <n v="60.333333333333336"/>
    <n v="1"/>
    <s v="Pass"/>
    <x v="0"/>
    <n v="15"/>
  </r>
  <r>
    <s v="male"/>
    <s v="group A"/>
    <x v="5"/>
    <x v="0"/>
    <x v="1"/>
    <n v="47"/>
    <n v="49"/>
    <n v="49"/>
    <n v="48.333333333333336"/>
    <n v="0"/>
    <s v="At Risk"/>
    <x v="2"/>
    <n v="2"/>
  </r>
  <r>
    <s v="female"/>
    <s v="group D"/>
    <x v="1"/>
    <x v="1"/>
    <x v="0"/>
    <n v="71"/>
    <n v="83"/>
    <n v="83"/>
    <n v="79"/>
    <n v="1"/>
    <s v="Pass"/>
    <x v="0"/>
    <n v="12"/>
  </r>
  <r>
    <s v="female"/>
    <s v="group B"/>
    <x v="5"/>
    <x v="0"/>
    <x v="1"/>
    <n v="60"/>
    <n v="70"/>
    <n v="70"/>
    <n v="66.666666666666671"/>
    <n v="1"/>
    <s v="Pass"/>
    <x v="0"/>
    <n v="10"/>
  </r>
  <r>
    <s v="male"/>
    <s v="group D"/>
    <x v="2"/>
    <x v="0"/>
    <x v="0"/>
    <n v="80"/>
    <n v="80"/>
    <n v="72"/>
    <n v="77.333333333333329"/>
    <n v="1"/>
    <s v="Pass"/>
    <x v="0"/>
    <n v="8"/>
  </r>
  <r>
    <s v="male"/>
    <s v="group D"/>
    <x v="4"/>
    <x v="0"/>
    <x v="0"/>
    <n v="54"/>
    <n v="52"/>
    <n v="52"/>
    <n v="52.666666666666664"/>
    <n v="0"/>
    <s v="At Risk"/>
    <x v="2"/>
    <n v="2"/>
  </r>
  <r>
    <s v="female"/>
    <s v="group E"/>
    <x v="1"/>
    <x v="0"/>
    <x v="0"/>
    <n v="62"/>
    <n v="73"/>
    <n v="70"/>
    <n v="68.333333333333329"/>
    <n v="1"/>
    <s v="Pass"/>
    <x v="0"/>
    <n v="11"/>
  </r>
  <r>
    <s v="female"/>
    <s v="group C"/>
    <x v="3"/>
    <x v="1"/>
    <x v="0"/>
    <n v="64"/>
    <n v="73"/>
    <n v="68"/>
    <n v="68.333333333333329"/>
    <n v="1"/>
    <s v="Pass"/>
    <x v="0"/>
    <n v="9"/>
  </r>
  <r>
    <s v="male"/>
    <s v="group C"/>
    <x v="3"/>
    <x v="0"/>
    <x v="1"/>
    <n v="78"/>
    <n v="77"/>
    <n v="77"/>
    <n v="77.333333333333329"/>
    <n v="1"/>
    <s v="Pass"/>
    <x v="0"/>
    <n v="1"/>
  </r>
  <r>
    <s v="female"/>
    <s v="group B"/>
    <x v="1"/>
    <x v="0"/>
    <x v="0"/>
    <n v="70"/>
    <n v="75"/>
    <n v="78"/>
    <n v="74.333333333333329"/>
    <n v="1"/>
    <s v="Pass"/>
    <x v="0"/>
    <n v="8"/>
  </r>
  <r>
    <s v="female"/>
    <s v="group C"/>
    <x v="2"/>
    <x v="1"/>
    <x v="1"/>
    <n v="65"/>
    <n v="81"/>
    <n v="81"/>
    <n v="75.666666666666671"/>
    <n v="1"/>
    <s v="Pass"/>
    <x v="0"/>
    <n v="16"/>
  </r>
  <r>
    <s v="female"/>
    <s v="group C"/>
    <x v="5"/>
    <x v="1"/>
    <x v="1"/>
    <n v="64"/>
    <n v="79"/>
    <n v="77"/>
    <n v="73.333333333333329"/>
    <n v="1"/>
    <s v="Pass"/>
    <x v="0"/>
    <n v="15"/>
  </r>
  <r>
    <s v="male"/>
    <s v="group C"/>
    <x v="1"/>
    <x v="0"/>
    <x v="1"/>
    <n v="79"/>
    <n v="79"/>
    <n v="78"/>
    <n v="78.666666666666671"/>
    <n v="1"/>
    <s v="Pass"/>
    <x v="0"/>
    <n v="1"/>
  </r>
  <r>
    <s v="female"/>
    <s v="group C"/>
    <x v="5"/>
    <x v="1"/>
    <x v="0"/>
    <n v="44"/>
    <n v="50"/>
    <n v="51"/>
    <n v="48.333333333333336"/>
    <n v="0"/>
    <s v="At Risk"/>
    <x v="2"/>
    <n v="7"/>
  </r>
  <r>
    <s v="female"/>
    <s v="group E"/>
    <x v="4"/>
    <x v="0"/>
    <x v="0"/>
    <n v="99"/>
    <n v="93"/>
    <n v="90"/>
    <n v="94"/>
    <n v="1"/>
    <s v="Pass"/>
    <x v="1"/>
    <n v="9"/>
  </r>
  <r>
    <s v="male"/>
    <s v="group D"/>
    <x v="4"/>
    <x v="0"/>
    <x v="0"/>
    <n v="76"/>
    <n v="73"/>
    <n v="68"/>
    <n v="72.333333333333329"/>
    <n v="1"/>
    <s v="Pass"/>
    <x v="0"/>
    <n v="8"/>
  </r>
  <r>
    <s v="male"/>
    <s v="group D"/>
    <x v="5"/>
    <x v="1"/>
    <x v="0"/>
    <n v="59"/>
    <n v="42"/>
    <n v="41"/>
    <n v="47.333333333333336"/>
    <n v="0"/>
    <s v="At Risk"/>
    <x v="2"/>
    <n v="18"/>
  </r>
  <r>
    <s v="female"/>
    <s v="group C"/>
    <x v="0"/>
    <x v="0"/>
    <x v="0"/>
    <n v="63"/>
    <n v="75"/>
    <n v="81"/>
    <n v="73"/>
    <n v="1"/>
    <s v="Pass"/>
    <x v="0"/>
    <n v="18"/>
  </r>
  <r>
    <s v="female"/>
    <s v="group D"/>
    <x v="4"/>
    <x v="0"/>
    <x v="0"/>
    <n v="69"/>
    <n v="72"/>
    <n v="77"/>
    <n v="72.666666666666671"/>
    <n v="1"/>
    <s v="Pass"/>
    <x v="0"/>
    <n v="8"/>
  </r>
  <r>
    <s v="female"/>
    <s v="group D"/>
    <x v="3"/>
    <x v="0"/>
    <x v="1"/>
    <n v="88"/>
    <n v="92"/>
    <n v="95"/>
    <n v="91.666666666666671"/>
    <n v="1"/>
    <s v="Pass"/>
    <x v="1"/>
    <n v="7"/>
  </r>
  <r>
    <s v="female"/>
    <s v="group E"/>
    <x v="1"/>
    <x v="1"/>
    <x v="0"/>
    <n v="71"/>
    <n v="76"/>
    <n v="70"/>
    <n v="72.333333333333329"/>
    <n v="1"/>
    <s v="Pass"/>
    <x v="0"/>
    <n v="6"/>
  </r>
  <r>
    <s v="male"/>
    <s v="group C"/>
    <x v="0"/>
    <x v="0"/>
    <x v="0"/>
    <n v="69"/>
    <n v="63"/>
    <n v="61"/>
    <n v="64.333333333333329"/>
    <n v="1"/>
    <s v="Pass"/>
    <x v="0"/>
    <n v="8"/>
  </r>
  <r>
    <s v="male"/>
    <s v="group C"/>
    <x v="1"/>
    <x v="0"/>
    <x v="0"/>
    <n v="58"/>
    <n v="49"/>
    <n v="42"/>
    <n v="49.666666666666664"/>
    <n v="0"/>
    <s v="At Risk"/>
    <x v="2"/>
    <n v="16"/>
  </r>
  <r>
    <s v="female"/>
    <s v="group D"/>
    <x v="3"/>
    <x v="1"/>
    <x v="0"/>
    <n v="47"/>
    <n v="53"/>
    <n v="58"/>
    <n v="52.666666666666664"/>
    <n v="0"/>
    <s v="At Risk"/>
    <x v="2"/>
    <n v="11"/>
  </r>
  <r>
    <s v="female"/>
    <s v="group D"/>
    <x v="1"/>
    <x v="0"/>
    <x v="0"/>
    <n v="65"/>
    <n v="70"/>
    <n v="71"/>
    <n v="68.666666666666671"/>
    <n v="1"/>
    <s v="Pass"/>
    <x v="0"/>
    <n v="6"/>
  </r>
  <r>
    <s v="male"/>
    <s v="group B"/>
    <x v="1"/>
    <x v="0"/>
    <x v="1"/>
    <n v="88"/>
    <n v="85"/>
    <n v="76"/>
    <n v="83"/>
    <n v="1"/>
    <s v="Pass"/>
    <x v="1"/>
    <n v="12"/>
  </r>
  <r>
    <s v="male"/>
    <s v="group C"/>
    <x v="0"/>
    <x v="0"/>
    <x v="0"/>
    <n v="83"/>
    <n v="78"/>
    <n v="73"/>
    <n v="78"/>
    <n v="1"/>
    <s v="Pass"/>
    <x v="0"/>
    <n v="10"/>
  </r>
  <r>
    <s v="female"/>
    <s v="group C"/>
    <x v="5"/>
    <x v="0"/>
    <x v="1"/>
    <n v="85"/>
    <n v="92"/>
    <n v="93"/>
    <n v="90"/>
    <n v="1"/>
    <s v="Pass"/>
    <x v="1"/>
    <n v="8"/>
  </r>
  <r>
    <s v="female"/>
    <s v="group E"/>
    <x v="4"/>
    <x v="0"/>
    <x v="1"/>
    <n v="59"/>
    <n v="63"/>
    <n v="75"/>
    <n v="65.666666666666671"/>
    <n v="1"/>
    <s v="Pass"/>
    <x v="0"/>
    <n v="16"/>
  </r>
  <r>
    <s v="female"/>
    <s v="group C"/>
    <x v="5"/>
    <x v="1"/>
    <x v="0"/>
    <n v="65"/>
    <n v="86"/>
    <n v="80"/>
    <n v="77"/>
    <n v="1"/>
    <s v="Pass"/>
    <x v="0"/>
    <n v="21"/>
  </r>
  <r>
    <s v="male"/>
    <s v="group B"/>
    <x v="0"/>
    <x v="1"/>
    <x v="0"/>
    <n v="73"/>
    <n v="56"/>
    <n v="57"/>
    <n v="62"/>
    <n v="1"/>
    <s v="Pass"/>
    <x v="0"/>
    <n v="17"/>
  </r>
  <r>
    <s v="male"/>
    <s v="group D"/>
    <x v="4"/>
    <x v="0"/>
    <x v="0"/>
    <n v="53"/>
    <n v="52"/>
    <n v="42"/>
    <n v="49"/>
    <n v="0"/>
    <s v="At Risk"/>
    <x v="2"/>
    <n v="11"/>
  </r>
  <r>
    <s v="male"/>
    <s v="group D"/>
    <x v="4"/>
    <x v="0"/>
    <x v="0"/>
    <n v="45"/>
    <n v="48"/>
    <n v="46"/>
    <n v="46.333333333333336"/>
    <n v="0"/>
    <s v="At Risk"/>
    <x v="2"/>
    <n v="3"/>
  </r>
  <r>
    <s v="female"/>
    <s v="group D"/>
    <x v="0"/>
    <x v="1"/>
    <x v="0"/>
    <n v="73"/>
    <n v="79"/>
    <n v="84"/>
    <n v="78.666666666666671"/>
    <n v="1"/>
    <s v="Pass"/>
    <x v="0"/>
    <n v="11"/>
  </r>
  <r>
    <s v="female"/>
    <s v="group D"/>
    <x v="1"/>
    <x v="1"/>
    <x v="1"/>
    <n v="70"/>
    <n v="78"/>
    <n v="78"/>
    <n v="75.333333333333329"/>
    <n v="1"/>
    <s v="Pass"/>
    <x v="0"/>
    <n v="8"/>
  </r>
  <r>
    <s v="female"/>
    <s v="group B"/>
    <x v="5"/>
    <x v="0"/>
    <x v="0"/>
    <n v="37"/>
    <n v="46"/>
    <n v="46"/>
    <n v="43"/>
    <n v="0"/>
    <s v="At Risk"/>
    <x v="2"/>
    <n v="9"/>
  </r>
  <r>
    <s v="male"/>
    <s v="group B"/>
    <x v="3"/>
    <x v="0"/>
    <x v="1"/>
    <n v="81"/>
    <n v="82"/>
    <n v="82"/>
    <n v="81.666666666666671"/>
    <n v="1"/>
    <s v="Pass"/>
    <x v="1"/>
    <n v="1"/>
  </r>
  <r>
    <s v="male"/>
    <s v="group E"/>
    <x v="3"/>
    <x v="0"/>
    <x v="1"/>
    <n v="97"/>
    <n v="82"/>
    <n v="88"/>
    <n v="89"/>
    <n v="1"/>
    <s v="Pass"/>
    <x v="1"/>
    <n v="15"/>
  </r>
  <r>
    <s v="female"/>
    <s v="group B"/>
    <x v="5"/>
    <x v="0"/>
    <x v="0"/>
    <n v="67"/>
    <n v="89"/>
    <n v="82"/>
    <n v="79.333333333333329"/>
    <n v="1"/>
    <s v="Pass"/>
    <x v="0"/>
    <n v="22"/>
  </r>
  <r>
    <s v="male"/>
    <s v="group B"/>
    <x v="0"/>
    <x v="1"/>
    <x v="0"/>
    <n v="88"/>
    <n v="75"/>
    <n v="76"/>
    <n v="79.666666666666671"/>
    <n v="1"/>
    <s v="Pass"/>
    <x v="0"/>
    <n v="13"/>
  </r>
  <r>
    <s v="male"/>
    <s v="group E"/>
    <x v="5"/>
    <x v="0"/>
    <x v="1"/>
    <n v="77"/>
    <n v="76"/>
    <n v="77"/>
    <n v="76.666666666666671"/>
    <n v="1"/>
    <s v="Pass"/>
    <x v="0"/>
    <n v="1"/>
  </r>
  <r>
    <s v="male"/>
    <s v="group C"/>
    <x v="3"/>
    <x v="0"/>
    <x v="0"/>
    <n v="76"/>
    <n v="70"/>
    <n v="68"/>
    <n v="71.333333333333329"/>
    <n v="1"/>
    <s v="Pass"/>
    <x v="0"/>
    <n v="8"/>
  </r>
  <r>
    <s v="male"/>
    <s v="group D"/>
    <x v="5"/>
    <x v="0"/>
    <x v="0"/>
    <n v="86"/>
    <n v="73"/>
    <n v="70"/>
    <n v="76.333333333333329"/>
    <n v="1"/>
    <s v="Pass"/>
    <x v="0"/>
    <n v="16"/>
  </r>
  <r>
    <s v="male"/>
    <s v="group C"/>
    <x v="5"/>
    <x v="0"/>
    <x v="1"/>
    <n v="63"/>
    <n v="60"/>
    <n v="57"/>
    <n v="60"/>
    <n v="1"/>
    <s v="Pass"/>
    <x v="0"/>
    <n v="6"/>
  </r>
  <r>
    <s v="female"/>
    <s v="group E"/>
    <x v="0"/>
    <x v="0"/>
    <x v="0"/>
    <n v="65"/>
    <n v="73"/>
    <n v="75"/>
    <n v="71"/>
    <n v="1"/>
    <s v="Pass"/>
    <x v="0"/>
    <n v="10"/>
  </r>
  <r>
    <s v="male"/>
    <s v="group D"/>
    <x v="4"/>
    <x v="1"/>
    <x v="1"/>
    <n v="78"/>
    <n v="77"/>
    <n v="80"/>
    <n v="78.333333333333329"/>
    <n v="1"/>
    <s v="Pass"/>
    <x v="0"/>
    <n v="3"/>
  </r>
  <r>
    <s v="male"/>
    <s v="group B"/>
    <x v="3"/>
    <x v="1"/>
    <x v="0"/>
    <n v="67"/>
    <n v="62"/>
    <n v="60"/>
    <n v="63"/>
    <n v="1"/>
    <s v="Pass"/>
    <x v="0"/>
    <n v="7"/>
  </r>
  <r>
    <s v="male"/>
    <s v="group A"/>
    <x v="5"/>
    <x v="0"/>
    <x v="1"/>
    <n v="46"/>
    <n v="41"/>
    <n v="43"/>
    <n v="43.333333333333336"/>
    <n v="0"/>
    <s v="At Risk"/>
    <x v="2"/>
    <n v="5"/>
  </r>
  <r>
    <s v="male"/>
    <s v="group E"/>
    <x v="3"/>
    <x v="0"/>
    <x v="1"/>
    <n v="71"/>
    <n v="74"/>
    <n v="68"/>
    <n v="71"/>
    <n v="1"/>
    <s v="Pass"/>
    <x v="0"/>
    <n v="6"/>
  </r>
  <r>
    <s v="male"/>
    <s v="group C"/>
    <x v="4"/>
    <x v="1"/>
    <x v="1"/>
    <n v="40"/>
    <n v="46"/>
    <n v="50"/>
    <n v="45.333333333333336"/>
    <n v="0"/>
    <s v="At Risk"/>
    <x v="2"/>
    <n v="10"/>
  </r>
  <r>
    <s v="male"/>
    <s v="group D"/>
    <x v="3"/>
    <x v="1"/>
    <x v="0"/>
    <n v="90"/>
    <n v="87"/>
    <n v="75"/>
    <n v="84"/>
    <n v="1"/>
    <s v="Pass"/>
    <x v="1"/>
    <n v="15"/>
  </r>
  <r>
    <s v="male"/>
    <s v="group A"/>
    <x v="1"/>
    <x v="1"/>
    <x v="1"/>
    <n v="81"/>
    <n v="78"/>
    <n v="81"/>
    <n v="80"/>
    <n v="1"/>
    <s v="Pass"/>
    <x v="1"/>
    <n v="3"/>
  </r>
  <r>
    <s v="male"/>
    <s v="group D"/>
    <x v="5"/>
    <x v="1"/>
    <x v="0"/>
    <n v="56"/>
    <n v="54"/>
    <n v="52"/>
    <n v="54"/>
    <n v="0"/>
    <s v="At Risk"/>
    <x v="2"/>
    <n v="4"/>
  </r>
  <r>
    <s v="female"/>
    <s v="group C"/>
    <x v="3"/>
    <x v="0"/>
    <x v="1"/>
    <n v="67"/>
    <n v="84"/>
    <n v="81"/>
    <n v="77.333333333333329"/>
    <n v="1"/>
    <s v="Pass"/>
    <x v="0"/>
    <n v="17"/>
  </r>
  <r>
    <s v="male"/>
    <s v="group B"/>
    <x v="3"/>
    <x v="0"/>
    <x v="0"/>
    <n v="80"/>
    <n v="76"/>
    <n v="64"/>
    <n v="73.333333333333329"/>
    <n v="1"/>
    <s v="Pass"/>
    <x v="0"/>
    <n v="16"/>
  </r>
  <r>
    <s v="female"/>
    <s v="group C"/>
    <x v="3"/>
    <x v="0"/>
    <x v="1"/>
    <n v="74"/>
    <n v="75"/>
    <n v="83"/>
    <n v="77.333333333333329"/>
    <n v="1"/>
    <s v="Pass"/>
    <x v="0"/>
    <n v="9"/>
  </r>
  <r>
    <s v="male"/>
    <s v="group A"/>
    <x v="1"/>
    <x v="0"/>
    <x v="0"/>
    <n v="69"/>
    <n v="67"/>
    <n v="69"/>
    <n v="68.333333333333329"/>
    <n v="1"/>
    <s v="Pass"/>
    <x v="0"/>
    <n v="2"/>
  </r>
  <r>
    <s v="male"/>
    <s v="group E"/>
    <x v="1"/>
    <x v="0"/>
    <x v="1"/>
    <n v="99"/>
    <n v="87"/>
    <n v="81"/>
    <n v="89"/>
    <n v="1"/>
    <s v="Pass"/>
    <x v="1"/>
    <n v="18"/>
  </r>
  <r>
    <s v="male"/>
    <s v="group C"/>
    <x v="5"/>
    <x v="0"/>
    <x v="0"/>
    <n v="51"/>
    <n v="52"/>
    <n v="44"/>
    <n v="49"/>
    <n v="0"/>
    <s v="At Risk"/>
    <x v="2"/>
    <n v="8"/>
  </r>
  <r>
    <s v="female"/>
    <s v="group B"/>
    <x v="3"/>
    <x v="1"/>
    <x v="0"/>
    <n v="53"/>
    <n v="71"/>
    <n v="67"/>
    <n v="63.666666666666664"/>
    <n v="1"/>
    <s v="Pass"/>
    <x v="0"/>
    <n v="18"/>
  </r>
  <r>
    <s v="female"/>
    <s v="group D"/>
    <x v="4"/>
    <x v="1"/>
    <x v="0"/>
    <n v="49"/>
    <n v="57"/>
    <n v="52"/>
    <n v="52.666666666666664"/>
    <n v="0"/>
    <s v="At Risk"/>
    <x v="2"/>
    <n v="8"/>
  </r>
  <r>
    <s v="female"/>
    <s v="group B"/>
    <x v="3"/>
    <x v="0"/>
    <x v="0"/>
    <n v="73"/>
    <n v="76"/>
    <n v="80"/>
    <n v="76.333333333333329"/>
    <n v="1"/>
    <s v="Pass"/>
    <x v="0"/>
    <n v="7"/>
  </r>
  <r>
    <s v="male"/>
    <s v="group B"/>
    <x v="0"/>
    <x v="0"/>
    <x v="0"/>
    <n v="66"/>
    <n v="60"/>
    <n v="57"/>
    <n v="61"/>
    <n v="1"/>
    <s v="Pass"/>
    <x v="0"/>
    <n v="9"/>
  </r>
  <r>
    <s v="male"/>
    <s v="group D"/>
    <x v="0"/>
    <x v="0"/>
    <x v="1"/>
    <n v="67"/>
    <n v="61"/>
    <n v="68"/>
    <n v="65.333333333333329"/>
    <n v="1"/>
    <s v="Pass"/>
    <x v="0"/>
    <n v="7"/>
  </r>
  <r>
    <s v="female"/>
    <s v="group C"/>
    <x v="3"/>
    <x v="1"/>
    <x v="1"/>
    <n v="68"/>
    <n v="67"/>
    <n v="69"/>
    <n v="68"/>
    <n v="1"/>
    <s v="Pass"/>
    <x v="0"/>
    <n v="2"/>
  </r>
  <r>
    <s v="female"/>
    <s v="group C"/>
    <x v="0"/>
    <x v="0"/>
    <x v="1"/>
    <n v="59"/>
    <n v="64"/>
    <n v="75"/>
    <n v="66"/>
    <n v="1"/>
    <s v="Pass"/>
    <x v="0"/>
    <n v="16"/>
  </r>
  <r>
    <s v="male"/>
    <s v="group C"/>
    <x v="4"/>
    <x v="0"/>
    <x v="0"/>
    <n v="71"/>
    <n v="66"/>
    <n v="65"/>
    <n v="67.333333333333329"/>
    <n v="1"/>
    <s v="Pass"/>
    <x v="0"/>
    <n v="6"/>
  </r>
  <r>
    <s v="female"/>
    <s v="group D"/>
    <x v="2"/>
    <x v="0"/>
    <x v="1"/>
    <n v="77"/>
    <n v="82"/>
    <n v="91"/>
    <n v="83.333333333333329"/>
    <n v="1"/>
    <s v="Pass"/>
    <x v="1"/>
    <n v="14"/>
  </r>
  <r>
    <s v="male"/>
    <s v="group C"/>
    <x v="3"/>
    <x v="0"/>
    <x v="0"/>
    <n v="83"/>
    <n v="72"/>
    <n v="78"/>
    <n v="77.666666666666671"/>
    <n v="1"/>
    <s v="Pass"/>
    <x v="0"/>
    <n v="11"/>
  </r>
  <r>
    <s v="male"/>
    <s v="group B"/>
    <x v="0"/>
    <x v="0"/>
    <x v="0"/>
    <n v="63"/>
    <n v="71"/>
    <n v="69"/>
    <n v="67.666666666666671"/>
    <n v="1"/>
    <s v="Pass"/>
    <x v="0"/>
    <n v="8"/>
  </r>
  <r>
    <s v="female"/>
    <s v="group D"/>
    <x v="3"/>
    <x v="1"/>
    <x v="0"/>
    <n v="56"/>
    <n v="65"/>
    <n v="63"/>
    <n v="61.333333333333336"/>
    <n v="1"/>
    <s v="Pass"/>
    <x v="0"/>
    <n v="9"/>
  </r>
  <r>
    <s v="female"/>
    <s v="group C"/>
    <x v="4"/>
    <x v="1"/>
    <x v="1"/>
    <n v="67"/>
    <n v="79"/>
    <n v="84"/>
    <n v="76.666666666666671"/>
    <n v="1"/>
    <s v="Pass"/>
    <x v="0"/>
    <n v="17"/>
  </r>
  <r>
    <s v="female"/>
    <s v="group E"/>
    <x v="4"/>
    <x v="0"/>
    <x v="0"/>
    <n v="75"/>
    <n v="86"/>
    <n v="79"/>
    <n v="80"/>
    <n v="1"/>
    <s v="Pass"/>
    <x v="1"/>
    <n v="11"/>
  </r>
  <r>
    <s v="female"/>
    <s v="group C"/>
    <x v="1"/>
    <x v="0"/>
    <x v="0"/>
    <n v="71"/>
    <n v="81"/>
    <n v="80"/>
    <n v="77.333333333333329"/>
    <n v="1"/>
    <s v="Pass"/>
    <x v="0"/>
    <n v="10"/>
  </r>
  <r>
    <s v="female"/>
    <s v="group C"/>
    <x v="5"/>
    <x v="1"/>
    <x v="0"/>
    <n v="43"/>
    <n v="53"/>
    <n v="53"/>
    <n v="49.666666666666664"/>
    <n v="0"/>
    <s v="At Risk"/>
    <x v="2"/>
    <n v="10"/>
  </r>
  <r>
    <s v="female"/>
    <s v="group C"/>
    <x v="4"/>
    <x v="1"/>
    <x v="0"/>
    <n v="41"/>
    <n v="46"/>
    <n v="43"/>
    <n v="43.333333333333336"/>
    <n v="0"/>
    <s v="At Risk"/>
    <x v="2"/>
    <n v="5"/>
  </r>
  <r>
    <s v="female"/>
    <s v="group C"/>
    <x v="1"/>
    <x v="0"/>
    <x v="0"/>
    <n v="82"/>
    <n v="90"/>
    <n v="94"/>
    <n v="88.666666666666671"/>
    <n v="1"/>
    <s v="Pass"/>
    <x v="1"/>
    <n v="12"/>
  </r>
  <r>
    <s v="male"/>
    <s v="group C"/>
    <x v="1"/>
    <x v="0"/>
    <x v="0"/>
    <n v="61"/>
    <n v="61"/>
    <n v="62"/>
    <n v="61.333333333333336"/>
    <n v="1"/>
    <s v="Pass"/>
    <x v="0"/>
    <n v="1"/>
  </r>
  <r>
    <s v="male"/>
    <s v="group A"/>
    <x v="1"/>
    <x v="1"/>
    <x v="0"/>
    <n v="28"/>
    <n v="23"/>
    <n v="19"/>
    <n v="23.333333333333332"/>
    <n v="0"/>
    <s v="At Risk"/>
    <x v="2"/>
    <n v="9"/>
  </r>
  <r>
    <s v="male"/>
    <s v="group C"/>
    <x v="3"/>
    <x v="0"/>
    <x v="1"/>
    <n v="82"/>
    <n v="75"/>
    <n v="77"/>
    <n v="78"/>
    <n v="1"/>
    <s v="Pass"/>
    <x v="0"/>
    <n v="7"/>
  </r>
  <r>
    <s v="female"/>
    <s v="group B"/>
    <x v="5"/>
    <x v="0"/>
    <x v="0"/>
    <n v="41"/>
    <n v="55"/>
    <n v="51"/>
    <n v="49"/>
    <n v="0"/>
    <s v="At Risk"/>
    <x v="2"/>
    <n v="14"/>
  </r>
  <r>
    <s v="male"/>
    <s v="group C"/>
    <x v="4"/>
    <x v="0"/>
    <x v="0"/>
    <n v="71"/>
    <n v="60"/>
    <n v="61"/>
    <n v="64"/>
    <n v="1"/>
    <s v="Pass"/>
    <x v="0"/>
    <n v="11"/>
  </r>
  <r>
    <s v="male"/>
    <s v="group C"/>
    <x v="3"/>
    <x v="0"/>
    <x v="0"/>
    <n v="47"/>
    <n v="37"/>
    <n v="35"/>
    <n v="39.666666666666664"/>
    <n v="0"/>
    <s v="At Risk"/>
    <x v="2"/>
    <n v="12"/>
  </r>
  <r>
    <s v="male"/>
    <s v="group E"/>
    <x v="3"/>
    <x v="0"/>
    <x v="1"/>
    <n v="62"/>
    <n v="56"/>
    <n v="53"/>
    <n v="57"/>
    <n v="0"/>
    <s v="At Risk"/>
    <x v="2"/>
    <n v="9"/>
  </r>
  <r>
    <s v="male"/>
    <s v="group B"/>
    <x v="3"/>
    <x v="0"/>
    <x v="0"/>
    <n v="90"/>
    <n v="78"/>
    <n v="81"/>
    <n v="83"/>
    <n v="1"/>
    <s v="Pass"/>
    <x v="1"/>
    <n v="12"/>
  </r>
  <r>
    <s v="female"/>
    <s v="group C"/>
    <x v="0"/>
    <x v="0"/>
    <x v="0"/>
    <n v="83"/>
    <n v="93"/>
    <n v="95"/>
    <n v="90.333333333333329"/>
    <n v="1"/>
    <s v="Pass"/>
    <x v="1"/>
    <n v="12"/>
  </r>
  <r>
    <s v="female"/>
    <s v="group B"/>
    <x v="1"/>
    <x v="1"/>
    <x v="0"/>
    <n v="61"/>
    <n v="68"/>
    <n v="66"/>
    <n v="65"/>
    <n v="1"/>
    <s v="Pass"/>
    <x v="0"/>
    <n v="7"/>
  </r>
  <r>
    <s v="male"/>
    <s v="group D"/>
    <x v="5"/>
    <x v="0"/>
    <x v="1"/>
    <n v="76"/>
    <n v="70"/>
    <n v="69"/>
    <n v="71.666666666666671"/>
    <n v="1"/>
    <s v="Pass"/>
    <x v="0"/>
    <n v="7"/>
  </r>
  <r>
    <s v="male"/>
    <s v="group C"/>
    <x v="3"/>
    <x v="0"/>
    <x v="0"/>
    <n v="49"/>
    <n v="51"/>
    <n v="43"/>
    <n v="47.666666666666664"/>
    <n v="0"/>
    <s v="At Risk"/>
    <x v="2"/>
    <n v="8"/>
  </r>
  <r>
    <s v="female"/>
    <s v="group B"/>
    <x v="5"/>
    <x v="1"/>
    <x v="0"/>
    <n v="24"/>
    <n v="38"/>
    <n v="27"/>
    <n v="29.666666666666668"/>
    <n v="0"/>
    <s v="At Risk"/>
    <x v="2"/>
    <n v="14"/>
  </r>
  <r>
    <s v="female"/>
    <s v="group D"/>
    <x v="5"/>
    <x v="1"/>
    <x v="1"/>
    <n v="35"/>
    <n v="55"/>
    <n v="60"/>
    <n v="50"/>
    <n v="0"/>
    <s v="At Risk"/>
    <x v="2"/>
    <n v="25"/>
  </r>
  <r>
    <s v="male"/>
    <s v="group C"/>
    <x v="4"/>
    <x v="1"/>
    <x v="0"/>
    <n v="58"/>
    <n v="61"/>
    <n v="52"/>
    <n v="57"/>
    <n v="0"/>
    <s v="At Risk"/>
    <x v="2"/>
    <n v="9"/>
  </r>
  <r>
    <s v="female"/>
    <s v="group C"/>
    <x v="4"/>
    <x v="0"/>
    <x v="0"/>
    <n v="61"/>
    <n v="73"/>
    <n v="63"/>
    <n v="65.666666666666671"/>
    <n v="1"/>
    <s v="Pass"/>
    <x v="0"/>
    <n v="12"/>
  </r>
  <r>
    <s v="female"/>
    <s v="group B"/>
    <x v="4"/>
    <x v="0"/>
    <x v="1"/>
    <n v="69"/>
    <n v="76"/>
    <n v="74"/>
    <n v="73"/>
    <n v="1"/>
    <s v="Pass"/>
    <x v="0"/>
    <n v="7"/>
  </r>
  <r>
    <s v="male"/>
    <s v="group D"/>
    <x v="3"/>
    <x v="0"/>
    <x v="1"/>
    <n v="67"/>
    <n v="72"/>
    <n v="67"/>
    <n v="68.666666666666671"/>
    <n v="1"/>
    <s v="Pass"/>
    <x v="0"/>
    <n v="5"/>
  </r>
  <r>
    <s v="male"/>
    <s v="group D"/>
    <x v="1"/>
    <x v="0"/>
    <x v="0"/>
    <n v="79"/>
    <n v="73"/>
    <n v="67"/>
    <n v="73"/>
    <n v="1"/>
    <s v="Pass"/>
    <x v="0"/>
    <n v="12"/>
  </r>
  <r>
    <s v="female"/>
    <s v="group C"/>
    <x v="4"/>
    <x v="0"/>
    <x v="0"/>
    <n v="72"/>
    <n v="80"/>
    <n v="75"/>
    <n v="75.666666666666671"/>
    <n v="1"/>
    <s v="Pass"/>
    <x v="0"/>
    <n v="8"/>
  </r>
  <r>
    <s v="male"/>
    <s v="group B"/>
    <x v="1"/>
    <x v="0"/>
    <x v="0"/>
    <n v="62"/>
    <n v="61"/>
    <n v="57"/>
    <n v="60"/>
    <n v="1"/>
    <s v="Pass"/>
    <x v="0"/>
    <n v="5"/>
  </r>
  <r>
    <s v="female"/>
    <s v="group C"/>
    <x v="0"/>
    <x v="0"/>
    <x v="1"/>
    <n v="77"/>
    <n v="94"/>
    <n v="95"/>
    <n v="88.666666666666671"/>
    <n v="1"/>
    <s v="Pass"/>
    <x v="1"/>
    <n v="18"/>
  </r>
  <r>
    <s v="male"/>
    <s v="group D"/>
    <x v="4"/>
    <x v="1"/>
    <x v="0"/>
    <n v="75"/>
    <n v="74"/>
    <n v="66"/>
    <n v="71.666666666666671"/>
    <n v="1"/>
    <s v="Pass"/>
    <x v="0"/>
    <n v="9"/>
  </r>
  <r>
    <s v="male"/>
    <s v="group E"/>
    <x v="3"/>
    <x v="0"/>
    <x v="0"/>
    <n v="87"/>
    <n v="74"/>
    <n v="76"/>
    <n v="79"/>
    <n v="1"/>
    <s v="Pass"/>
    <x v="0"/>
    <n v="13"/>
  </r>
  <r>
    <s v="female"/>
    <s v="group B"/>
    <x v="0"/>
    <x v="0"/>
    <x v="0"/>
    <n v="52"/>
    <n v="65"/>
    <n v="69"/>
    <n v="62"/>
    <n v="1"/>
    <s v="Pass"/>
    <x v="0"/>
    <n v="17"/>
  </r>
  <r>
    <s v="male"/>
    <s v="group E"/>
    <x v="1"/>
    <x v="0"/>
    <x v="0"/>
    <n v="66"/>
    <n v="57"/>
    <n v="52"/>
    <n v="58.333333333333336"/>
    <n v="0"/>
    <s v="At Risk"/>
    <x v="2"/>
    <n v="14"/>
  </r>
  <r>
    <s v="female"/>
    <s v="group C"/>
    <x v="1"/>
    <x v="0"/>
    <x v="1"/>
    <n v="63"/>
    <n v="78"/>
    <n v="80"/>
    <n v="73.666666666666671"/>
    <n v="1"/>
    <s v="Pass"/>
    <x v="0"/>
    <n v="17"/>
  </r>
  <r>
    <s v="female"/>
    <s v="group C"/>
    <x v="3"/>
    <x v="0"/>
    <x v="0"/>
    <n v="46"/>
    <n v="58"/>
    <n v="57"/>
    <n v="53.666666666666664"/>
    <n v="0"/>
    <s v="At Risk"/>
    <x v="2"/>
    <n v="12"/>
  </r>
  <r>
    <s v="female"/>
    <s v="group C"/>
    <x v="1"/>
    <x v="0"/>
    <x v="0"/>
    <n v="59"/>
    <n v="71"/>
    <n v="70"/>
    <n v="66.666666666666671"/>
    <n v="1"/>
    <s v="Pass"/>
    <x v="0"/>
    <n v="12"/>
  </r>
  <r>
    <s v="female"/>
    <s v="group B"/>
    <x v="0"/>
    <x v="0"/>
    <x v="0"/>
    <n v="61"/>
    <n v="72"/>
    <n v="70"/>
    <n v="67.666666666666671"/>
    <n v="1"/>
    <s v="Pass"/>
    <x v="0"/>
    <n v="11"/>
  </r>
  <r>
    <s v="male"/>
    <s v="group A"/>
    <x v="3"/>
    <x v="0"/>
    <x v="0"/>
    <n v="63"/>
    <n v="61"/>
    <n v="61"/>
    <n v="61.666666666666664"/>
    <n v="1"/>
    <s v="Pass"/>
    <x v="0"/>
    <n v="2"/>
  </r>
  <r>
    <s v="female"/>
    <s v="group C"/>
    <x v="1"/>
    <x v="1"/>
    <x v="1"/>
    <n v="42"/>
    <n v="66"/>
    <n v="69"/>
    <n v="59"/>
    <n v="0"/>
    <s v="At Risk"/>
    <x v="2"/>
    <n v="27"/>
  </r>
  <r>
    <s v="male"/>
    <s v="group D"/>
    <x v="1"/>
    <x v="1"/>
    <x v="0"/>
    <n v="59"/>
    <n v="62"/>
    <n v="61"/>
    <n v="60.666666666666664"/>
    <n v="1"/>
    <s v="Pass"/>
    <x v="0"/>
    <n v="3"/>
  </r>
  <r>
    <s v="female"/>
    <s v="group D"/>
    <x v="1"/>
    <x v="0"/>
    <x v="0"/>
    <n v="80"/>
    <n v="90"/>
    <n v="89"/>
    <n v="86.333333333333329"/>
    <n v="1"/>
    <s v="Pass"/>
    <x v="1"/>
    <n v="10"/>
  </r>
  <r>
    <s v="female"/>
    <s v="group B"/>
    <x v="4"/>
    <x v="0"/>
    <x v="0"/>
    <n v="58"/>
    <n v="62"/>
    <n v="59"/>
    <n v="59.666666666666664"/>
    <n v="0"/>
    <s v="At Risk"/>
    <x v="2"/>
    <n v="4"/>
  </r>
  <r>
    <s v="male"/>
    <s v="group B"/>
    <x v="5"/>
    <x v="0"/>
    <x v="1"/>
    <n v="85"/>
    <n v="84"/>
    <n v="78"/>
    <n v="82.333333333333329"/>
    <n v="1"/>
    <s v="Pass"/>
    <x v="1"/>
    <n v="7"/>
  </r>
  <r>
    <s v="female"/>
    <s v="group C"/>
    <x v="1"/>
    <x v="0"/>
    <x v="0"/>
    <n v="52"/>
    <n v="58"/>
    <n v="58"/>
    <n v="56"/>
    <n v="0"/>
    <s v="At Risk"/>
    <x v="2"/>
    <n v="6"/>
  </r>
  <r>
    <s v="female"/>
    <s v="group D"/>
    <x v="5"/>
    <x v="1"/>
    <x v="0"/>
    <n v="27"/>
    <n v="34"/>
    <n v="32"/>
    <n v="31"/>
    <n v="0"/>
    <s v="At Risk"/>
    <x v="2"/>
    <n v="7"/>
  </r>
  <r>
    <s v="male"/>
    <s v="group C"/>
    <x v="1"/>
    <x v="0"/>
    <x v="0"/>
    <n v="59"/>
    <n v="60"/>
    <n v="58"/>
    <n v="59"/>
    <n v="0"/>
    <s v="At Risk"/>
    <x v="2"/>
    <n v="2"/>
  </r>
  <r>
    <s v="male"/>
    <s v="group A"/>
    <x v="0"/>
    <x v="1"/>
    <x v="1"/>
    <n v="49"/>
    <n v="58"/>
    <n v="60"/>
    <n v="55.666666666666664"/>
    <n v="0"/>
    <s v="At Risk"/>
    <x v="2"/>
    <n v="11"/>
  </r>
  <r>
    <s v="male"/>
    <s v="group C"/>
    <x v="4"/>
    <x v="0"/>
    <x v="1"/>
    <n v="69"/>
    <n v="58"/>
    <n v="53"/>
    <n v="60"/>
    <n v="1"/>
    <s v="Pass"/>
    <x v="0"/>
    <n v="16"/>
  </r>
  <r>
    <s v="male"/>
    <s v="group C"/>
    <x v="0"/>
    <x v="1"/>
    <x v="0"/>
    <n v="61"/>
    <n v="66"/>
    <n v="61"/>
    <n v="62.666666666666664"/>
    <n v="1"/>
    <s v="Pass"/>
    <x v="0"/>
    <n v="5"/>
  </r>
  <r>
    <s v="female"/>
    <s v="group A"/>
    <x v="5"/>
    <x v="1"/>
    <x v="0"/>
    <n v="44"/>
    <n v="64"/>
    <n v="58"/>
    <n v="55.333333333333336"/>
    <n v="0"/>
    <s v="At Risk"/>
    <x v="2"/>
    <n v="20"/>
  </r>
  <r>
    <s v="female"/>
    <s v="group D"/>
    <x v="5"/>
    <x v="0"/>
    <x v="0"/>
    <n v="73"/>
    <n v="84"/>
    <n v="85"/>
    <n v="80.666666666666671"/>
    <n v="1"/>
    <s v="Pass"/>
    <x v="1"/>
    <n v="12"/>
  </r>
  <r>
    <s v="male"/>
    <s v="group E"/>
    <x v="1"/>
    <x v="0"/>
    <x v="0"/>
    <n v="84"/>
    <n v="77"/>
    <n v="71"/>
    <n v="77.333333333333329"/>
    <n v="1"/>
    <s v="Pass"/>
    <x v="0"/>
    <n v="13"/>
  </r>
  <r>
    <s v="female"/>
    <s v="group C"/>
    <x v="1"/>
    <x v="1"/>
    <x v="1"/>
    <n v="45"/>
    <n v="73"/>
    <n v="70"/>
    <n v="62.666666666666664"/>
    <n v="1"/>
    <s v="Pass"/>
    <x v="0"/>
    <n v="28"/>
  </r>
  <r>
    <s v="male"/>
    <s v="group D"/>
    <x v="5"/>
    <x v="0"/>
    <x v="0"/>
    <n v="74"/>
    <n v="74"/>
    <n v="72"/>
    <n v="73.333333333333329"/>
    <n v="1"/>
    <s v="Pass"/>
    <x v="0"/>
    <n v="2"/>
  </r>
  <r>
    <s v="female"/>
    <s v="group D"/>
    <x v="1"/>
    <x v="0"/>
    <x v="1"/>
    <n v="82"/>
    <n v="97"/>
    <n v="96"/>
    <n v="91.666666666666671"/>
    <n v="1"/>
    <s v="Pass"/>
    <x v="1"/>
    <n v="15"/>
  </r>
  <r>
    <s v="female"/>
    <s v="group D"/>
    <x v="0"/>
    <x v="0"/>
    <x v="0"/>
    <n v="59"/>
    <n v="70"/>
    <n v="73"/>
    <n v="67.333333333333329"/>
    <n v="1"/>
    <s v="Pass"/>
    <x v="0"/>
    <n v="14"/>
  </r>
  <r>
    <s v="male"/>
    <s v="group E"/>
    <x v="3"/>
    <x v="1"/>
    <x v="0"/>
    <n v="46"/>
    <n v="43"/>
    <n v="41"/>
    <n v="43.333333333333336"/>
    <n v="0"/>
    <s v="At Risk"/>
    <x v="2"/>
    <n v="5"/>
  </r>
  <r>
    <s v="female"/>
    <s v="group D"/>
    <x v="5"/>
    <x v="0"/>
    <x v="0"/>
    <n v="80"/>
    <n v="90"/>
    <n v="82"/>
    <n v="84"/>
    <n v="1"/>
    <s v="Pass"/>
    <x v="1"/>
    <n v="10"/>
  </r>
  <r>
    <s v="female"/>
    <s v="group D"/>
    <x v="2"/>
    <x v="1"/>
    <x v="1"/>
    <n v="85"/>
    <n v="95"/>
    <n v="100"/>
    <n v="93.333333333333329"/>
    <n v="1"/>
    <s v="Pass"/>
    <x v="1"/>
    <n v="15"/>
  </r>
  <r>
    <s v="female"/>
    <s v="group A"/>
    <x v="5"/>
    <x v="0"/>
    <x v="0"/>
    <n v="71"/>
    <n v="83"/>
    <n v="77"/>
    <n v="77"/>
    <n v="1"/>
    <s v="Pass"/>
    <x v="0"/>
    <n v="12"/>
  </r>
  <r>
    <s v="male"/>
    <s v="group A"/>
    <x v="0"/>
    <x v="0"/>
    <x v="0"/>
    <n v="66"/>
    <n v="64"/>
    <n v="62"/>
    <n v="64"/>
    <n v="1"/>
    <s v="Pass"/>
    <x v="0"/>
    <n v="4"/>
  </r>
  <r>
    <s v="female"/>
    <s v="group B"/>
    <x v="3"/>
    <x v="0"/>
    <x v="0"/>
    <n v="80"/>
    <n v="86"/>
    <n v="83"/>
    <n v="83"/>
    <n v="1"/>
    <s v="Pass"/>
    <x v="1"/>
    <n v="6"/>
  </r>
  <r>
    <s v="male"/>
    <s v="group C"/>
    <x v="3"/>
    <x v="0"/>
    <x v="1"/>
    <n v="87"/>
    <n v="100"/>
    <n v="95"/>
    <n v="94"/>
    <n v="1"/>
    <s v="Pass"/>
    <x v="1"/>
    <n v="13"/>
  </r>
  <r>
    <s v="male"/>
    <s v="group C"/>
    <x v="2"/>
    <x v="1"/>
    <x v="0"/>
    <n v="79"/>
    <n v="81"/>
    <n v="71"/>
    <n v="77"/>
    <n v="1"/>
    <s v="Pass"/>
    <x v="0"/>
    <n v="10"/>
  </r>
  <r>
    <s v="female"/>
    <s v="group E"/>
    <x v="5"/>
    <x v="1"/>
    <x v="0"/>
    <n v="38"/>
    <n v="49"/>
    <n v="45"/>
    <n v="44"/>
    <n v="0"/>
    <s v="At Risk"/>
    <x v="2"/>
    <n v="11"/>
  </r>
  <r>
    <s v="female"/>
    <s v="group A"/>
    <x v="5"/>
    <x v="1"/>
    <x v="0"/>
    <n v="38"/>
    <n v="43"/>
    <n v="43"/>
    <n v="41.333333333333336"/>
    <n v="0"/>
    <s v="At Risk"/>
    <x v="2"/>
    <n v="5"/>
  </r>
  <r>
    <s v="female"/>
    <s v="group E"/>
    <x v="1"/>
    <x v="0"/>
    <x v="0"/>
    <n v="67"/>
    <n v="76"/>
    <n v="75"/>
    <n v="72.666666666666671"/>
    <n v="1"/>
    <s v="Pass"/>
    <x v="0"/>
    <n v="9"/>
  </r>
  <r>
    <s v="female"/>
    <s v="group E"/>
    <x v="0"/>
    <x v="0"/>
    <x v="0"/>
    <n v="64"/>
    <n v="73"/>
    <n v="70"/>
    <n v="69"/>
    <n v="1"/>
    <s v="Pass"/>
    <x v="0"/>
    <n v="9"/>
  </r>
  <r>
    <s v="female"/>
    <s v="group C"/>
    <x v="3"/>
    <x v="1"/>
    <x v="0"/>
    <n v="57"/>
    <n v="78"/>
    <n v="67"/>
    <n v="67.333333333333329"/>
    <n v="1"/>
    <s v="Pass"/>
    <x v="0"/>
    <n v="21"/>
  </r>
  <r>
    <s v="female"/>
    <s v="group D"/>
    <x v="4"/>
    <x v="0"/>
    <x v="0"/>
    <n v="62"/>
    <n v="64"/>
    <n v="64"/>
    <n v="63.333333333333336"/>
    <n v="1"/>
    <s v="Pass"/>
    <x v="0"/>
    <n v="2"/>
  </r>
  <r>
    <s v="male"/>
    <s v="group D"/>
    <x v="2"/>
    <x v="0"/>
    <x v="0"/>
    <n v="73"/>
    <n v="70"/>
    <n v="75"/>
    <n v="72.666666666666671"/>
    <n v="1"/>
    <s v="Pass"/>
    <x v="0"/>
    <n v="5"/>
  </r>
  <r>
    <s v="male"/>
    <s v="group E"/>
    <x v="5"/>
    <x v="1"/>
    <x v="1"/>
    <n v="73"/>
    <n v="67"/>
    <n v="59"/>
    <n v="66.333333333333329"/>
    <n v="1"/>
    <s v="Pass"/>
    <x v="0"/>
    <n v="14"/>
  </r>
  <r>
    <s v="female"/>
    <s v="group D"/>
    <x v="1"/>
    <x v="0"/>
    <x v="0"/>
    <n v="77"/>
    <n v="68"/>
    <n v="77"/>
    <n v="74"/>
    <n v="1"/>
    <s v="Pass"/>
    <x v="0"/>
    <n v="9"/>
  </r>
  <r>
    <s v="male"/>
    <s v="group E"/>
    <x v="1"/>
    <x v="0"/>
    <x v="0"/>
    <n v="76"/>
    <n v="67"/>
    <n v="67"/>
    <n v="70"/>
    <n v="1"/>
    <s v="Pass"/>
    <x v="0"/>
    <n v="9"/>
  </r>
  <r>
    <s v="male"/>
    <s v="group C"/>
    <x v="3"/>
    <x v="0"/>
    <x v="1"/>
    <n v="57"/>
    <n v="54"/>
    <n v="56"/>
    <n v="55.666666666666664"/>
    <n v="0"/>
    <s v="At Risk"/>
    <x v="2"/>
    <n v="3"/>
  </r>
  <r>
    <s v="female"/>
    <s v="group C"/>
    <x v="5"/>
    <x v="0"/>
    <x v="1"/>
    <n v="65"/>
    <n v="74"/>
    <n v="77"/>
    <n v="72"/>
    <n v="1"/>
    <s v="Pass"/>
    <x v="0"/>
    <n v="12"/>
  </r>
  <r>
    <s v="male"/>
    <s v="group A"/>
    <x v="4"/>
    <x v="1"/>
    <x v="0"/>
    <n v="48"/>
    <n v="45"/>
    <n v="41"/>
    <n v="44.666666666666664"/>
    <n v="0"/>
    <s v="At Risk"/>
    <x v="2"/>
    <n v="7"/>
  </r>
  <r>
    <s v="female"/>
    <s v="group B"/>
    <x v="4"/>
    <x v="1"/>
    <x v="0"/>
    <n v="50"/>
    <n v="67"/>
    <n v="63"/>
    <n v="60"/>
    <n v="1"/>
    <s v="Pass"/>
    <x v="0"/>
    <n v="17"/>
  </r>
  <r>
    <s v="female"/>
    <s v="group C"/>
    <x v="3"/>
    <x v="0"/>
    <x v="0"/>
    <n v="85"/>
    <n v="89"/>
    <n v="95"/>
    <n v="89.666666666666671"/>
    <n v="1"/>
    <s v="Pass"/>
    <x v="1"/>
    <n v="10"/>
  </r>
  <r>
    <s v="male"/>
    <s v="group B"/>
    <x v="5"/>
    <x v="0"/>
    <x v="0"/>
    <n v="74"/>
    <n v="63"/>
    <n v="57"/>
    <n v="64.666666666666671"/>
    <n v="1"/>
    <s v="Pass"/>
    <x v="0"/>
    <n v="17"/>
  </r>
  <r>
    <s v="male"/>
    <s v="group D"/>
    <x v="5"/>
    <x v="0"/>
    <x v="0"/>
    <n v="60"/>
    <n v="59"/>
    <n v="54"/>
    <n v="57.666666666666664"/>
    <n v="0"/>
    <s v="At Risk"/>
    <x v="2"/>
    <n v="6"/>
  </r>
  <r>
    <s v="female"/>
    <s v="group C"/>
    <x v="5"/>
    <x v="0"/>
    <x v="1"/>
    <n v="59"/>
    <n v="54"/>
    <n v="67"/>
    <n v="60"/>
    <n v="1"/>
    <s v="Pass"/>
    <x v="0"/>
    <n v="13"/>
  </r>
  <r>
    <s v="male"/>
    <s v="group A"/>
    <x v="1"/>
    <x v="0"/>
    <x v="0"/>
    <n v="53"/>
    <n v="43"/>
    <n v="43"/>
    <n v="46.333333333333336"/>
    <n v="0"/>
    <s v="At Risk"/>
    <x v="2"/>
    <n v="10"/>
  </r>
  <r>
    <s v="female"/>
    <s v="group A"/>
    <x v="1"/>
    <x v="1"/>
    <x v="0"/>
    <n v="49"/>
    <n v="65"/>
    <n v="55"/>
    <n v="56.333333333333336"/>
    <n v="0"/>
    <s v="At Risk"/>
    <x v="2"/>
    <n v="16"/>
  </r>
  <r>
    <s v="female"/>
    <s v="group D"/>
    <x v="4"/>
    <x v="0"/>
    <x v="1"/>
    <n v="88"/>
    <n v="99"/>
    <n v="100"/>
    <n v="95.666666666666671"/>
    <n v="1"/>
    <s v="Pass"/>
    <x v="1"/>
    <n v="12"/>
  </r>
  <r>
    <s v="female"/>
    <s v="group C"/>
    <x v="4"/>
    <x v="0"/>
    <x v="0"/>
    <n v="54"/>
    <n v="59"/>
    <n v="62"/>
    <n v="58.333333333333336"/>
    <n v="0"/>
    <s v="At Risk"/>
    <x v="2"/>
    <n v="8"/>
  </r>
  <r>
    <s v="female"/>
    <s v="group C"/>
    <x v="5"/>
    <x v="0"/>
    <x v="0"/>
    <n v="63"/>
    <n v="73"/>
    <n v="68"/>
    <n v="68"/>
    <n v="1"/>
    <s v="Pass"/>
    <x v="0"/>
    <n v="10"/>
  </r>
  <r>
    <s v="male"/>
    <s v="group B"/>
    <x v="3"/>
    <x v="0"/>
    <x v="1"/>
    <n v="65"/>
    <n v="65"/>
    <n v="63"/>
    <n v="64.333333333333329"/>
    <n v="1"/>
    <s v="Pass"/>
    <x v="0"/>
    <n v="2"/>
  </r>
  <r>
    <s v="female"/>
    <s v="group B"/>
    <x v="3"/>
    <x v="0"/>
    <x v="0"/>
    <n v="82"/>
    <n v="80"/>
    <n v="77"/>
    <n v="79.666666666666671"/>
    <n v="1"/>
    <s v="Pass"/>
    <x v="0"/>
    <n v="5"/>
  </r>
  <r>
    <s v="female"/>
    <s v="group D"/>
    <x v="4"/>
    <x v="1"/>
    <x v="1"/>
    <n v="52"/>
    <n v="57"/>
    <n v="56"/>
    <n v="55"/>
    <n v="0"/>
    <s v="At Risk"/>
    <x v="2"/>
    <n v="5"/>
  </r>
  <r>
    <s v="male"/>
    <s v="group D"/>
    <x v="3"/>
    <x v="0"/>
    <x v="1"/>
    <n v="87"/>
    <n v="84"/>
    <n v="85"/>
    <n v="85.333333333333329"/>
    <n v="1"/>
    <s v="Pass"/>
    <x v="1"/>
    <n v="3"/>
  </r>
  <r>
    <s v="female"/>
    <s v="group D"/>
    <x v="2"/>
    <x v="0"/>
    <x v="1"/>
    <n v="70"/>
    <n v="71"/>
    <n v="74"/>
    <n v="71.666666666666671"/>
    <n v="1"/>
    <s v="Pass"/>
    <x v="0"/>
    <n v="4"/>
  </r>
  <r>
    <s v="male"/>
    <s v="group E"/>
    <x v="1"/>
    <x v="0"/>
    <x v="1"/>
    <n v="84"/>
    <n v="83"/>
    <n v="78"/>
    <n v="81.666666666666671"/>
    <n v="1"/>
    <s v="Pass"/>
    <x v="1"/>
    <n v="6"/>
  </r>
  <r>
    <s v="male"/>
    <s v="group D"/>
    <x v="3"/>
    <x v="0"/>
    <x v="0"/>
    <n v="71"/>
    <n v="66"/>
    <n v="60"/>
    <n v="65.666666666666671"/>
    <n v="1"/>
    <s v="Pass"/>
    <x v="0"/>
    <n v="11"/>
  </r>
  <r>
    <s v="male"/>
    <s v="group B"/>
    <x v="5"/>
    <x v="0"/>
    <x v="1"/>
    <n v="63"/>
    <n v="67"/>
    <n v="67"/>
    <n v="65.666666666666671"/>
    <n v="1"/>
    <s v="Pass"/>
    <x v="0"/>
    <n v="4"/>
  </r>
  <r>
    <s v="female"/>
    <s v="group C"/>
    <x v="0"/>
    <x v="1"/>
    <x v="1"/>
    <n v="51"/>
    <n v="72"/>
    <n v="79"/>
    <n v="67.333333333333329"/>
    <n v="1"/>
    <s v="Pass"/>
    <x v="0"/>
    <n v="28"/>
  </r>
  <r>
    <s v="male"/>
    <s v="group E"/>
    <x v="4"/>
    <x v="0"/>
    <x v="0"/>
    <n v="84"/>
    <n v="73"/>
    <n v="69"/>
    <n v="75.333333333333329"/>
    <n v="1"/>
    <s v="Pass"/>
    <x v="0"/>
    <n v="15"/>
  </r>
  <r>
    <s v="male"/>
    <s v="group C"/>
    <x v="0"/>
    <x v="0"/>
    <x v="1"/>
    <n v="71"/>
    <n v="74"/>
    <n v="68"/>
    <n v="71"/>
    <n v="1"/>
    <s v="Pass"/>
    <x v="0"/>
    <n v="6"/>
  </r>
  <r>
    <s v="male"/>
    <s v="group C"/>
    <x v="3"/>
    <x v="0"/>
    <x v="0"/>
    <n v="74"/>
    <n v="73"/>
    <n v="67"/>
    <n v="71.333333333333329"/>
    <n v="1"/>
    <s v="Pass"/>
    <x v="0"/>
    <n v="7"/>
  </r>
  <r>
    <s v="male"/>
    <s v="group D"/>
    <x v="1"/>
    <x v="0"/>
    <x v="0"/>
    <n v="68"/>
    <n v="59"/>
    <n v="62"/>
    <n v="63"/>
    <n v="1"/>
    <s v="Pass"/>
    <x v="0"/>
    <n v="9"/>
  </r>
  <r>
    <s v="male"/>
    <s v="group E"/>
    <x v="4"/>
    <x v="1"/>
    <x v="1"/>
    <n v="57"/>
    <n v="56"/>
    <n v="54"/>
    <n v="55.666666666666664"/>
    <n v="0"/>
    <s v="At Risk"/>
    <x v="2"/>
    <n v="3"/>
  </r>
  <r>
    <s v="female"/>
    <s v="group C"/>
    <x v="3"/>
    <x v="1"/>
    <x v="1"/>
    <n v="82"/>
    <n v="93"/>
    <n v="93"/>
    <n v="89.333333333333329"/>
    <n v="1"/>
    <s v="Pass"/>
    <x v="1"/>
    <n v="11"/>
  </r>
  <r>
    <s v="female"/>
    <s v="group D"/>
    <x v="4"/>
    <x v="0"/>
    <x v="1"/>
    <n v="57"/>
    <n v="58"/>
    <n v="64"/>
    <n v="59.666666666666664"/>
    <n v="0"/>
    <s v="At Risk"/>
    <x v="2"/>
    <n v="7"/>
  </r>
  <r>
    <s v="female"/>
    <s v="group D"/>
    <x v="2"/>
    <x v="1"/>
    <x v="1"/>
    <n v="47"/>
    <n v="58"/>
    <n v="67"/>
    <n v="57.333333333333336"/>
    <n v="0"/>
    <s v="At Risk"/>
    <x v="2"/>
    <n v="20"/>
  </r>
  <r>
    <s v="female"/>
    <s v="group A"/>
    <x v="5"/>
    <x v="0"/>
    <x v="1"/>
    <n v="59"/>
    <n v="85"/>
    <n v="80"/>
    <n v="74.666666666666671"/>
    <n v="1"/>
    <s v="Pass"/>
    <x v="0"/>
    <n v="26"/>
  </r>
  <r>
    <s v="male"/>
    <s v="group B"/>
    <x v="1"/>
    <x v="1"/>
    <x v="0"/>
    <n v="41"/>
    <n v="39"/>
    <n v="34"/>
    <n v="38"/>
    <n v="0"/>
    <s v="At Risk"/>
    <x v="2"/>
    <n v="7"/>
  </r>
  <r>
    <s v="female"/>
    <s v="group C"/>
    <x v="1"/>
    <x v="1"/>
    <x v="0"/>
    <n v="62"/>
    <n v="67"/>
    <n v="62"/>
    <n v="63.666666666666664"/>
    <n v="1"/>
    <s v="Pass"/>
    <x v="0"/>
    <n v="5"/>
  </r>
  <r>
    <s v="male"/>
    <s v="group C"/>
    <x v="0"/>
    <x v="0"/>
    <x v="0"/>
    <n v="86"/>
    <n v="83"/>
    <n v="86"/>
    <n v="85"/>
    <n v="1"/>
    <s v="Pass"/>
    <x v="1"/>
    <n v="3"/>
  </r>
  <r>
    <s v="male"/>
    <s v="group C"/>
    <x v="5"/>
    <x v="1"/>
    <x v="0"/>
    <n v="69"/>
    <n v="71"/>
    <n v="65"/>
    <n v="68.333333333333329"/>
    <n v="1"/>
    <s v="Pass"/>
    <x v="0"/>
    <n v="6"/>
  </r>
  <r>
    <s v="male"/>
    <s v="group A"/>
    <x v="5"/>
    <x v="1"/>
    <x v="0"/>
    <n v="65"/>
    <n v="59"/>
    <n v="53"/>
    <n v="59"/>
    <n v="0"/>
    <s v="At Risk"/>
    <x v="2"/>
    <n v="12"/>
  </r>
  <r>
    <s v="male"/>
    <s v="group C"/>
    <x v="5"/>
    <x v="1"/>
    <x v="0"/>
    <n v="68"/>
    <n v="63"/>
    <n v="54"/>
    <n v="61.666666666666664"/>
    <n v="1"/>
    <s v="Pass"/>
    <x v="0"/>
    <n v="14"/>
  </r>
  <r>
    <s v="male"/>
    <s v="group C"/>
    <x v="3"/>
    <x v="1"/>
    <x v="0"/>
    <n v="64"/>
    <n v="66"/>
    <n v="59"/>
    <n v="63"/>
    <n v="1"/>
    <s v="Pass"/>
    <x v="0"/>
    <n v="7"/>
  </r>
  <r>
    <s v="female"/>
    <s v="group C"/>
    <x v="4"/>
    <x v="0"/>
    <x v="0"/>
    <n v="61"/>
    <n v="72"/>
    <n v="70"/>
    <n v="67.666666666666671"/>
    <n v="1"/>
    <s v="Pass"/>
    <x v="0"/>
    <n v="11"/>
  </r>
  <r>
    <s v="male"/>
    <s v="group C"/>
    <x v="4"/>
    <x v="0"/>
    <x v="0"/>
    <n v="61"/>
    <n v="56"/>
    <n v="55"/>
    <n v="57.333333333333336"/>
    <n v="0"/>
    <s v="At Risk"/>
    <x v="2"/>
    <n v="6"/>
  </r>
  <r>
    <s v="female"/>
    <s v="group A"/>
    <x v="5"/>
    <x v="1"/>
    <x v="0"/>
    <n v="47"/>
    <n v="59"/>
    <n v="50"/>
    <n v="52"/>
    <n v="0"/>
    <s v="At Risk"/>
    <x v="2"/>
    <n v="12"/>
  </r>
  <r>
    <s v="male"/>
    <s v="group C"/>
    <x v="5"/>
    <x v="0"/>
    <x v="0"/>
    <n v="73"/>
    <n v="66"/>
    <n v="66"/>
    <n v="68.333333333333329"/>
    <n v="1"/>
    <s v="Pass"/>
    <x v="0"/>
    <n v="7"/>
  </r>
  <r>
    <s v="male"/>
    <s v="group C"/>
    <x v="1"/>
    <x v="1"/>
    <x v="1"/>
    <n v="50"/>
    <n v="48"/>
    <n v="53"/>
    <n v="50.333333333333336"/>
    <n v="0"/>
    <s v="At Risk"/>
    <x v="2"/>
    <n v="5"/>
  </r>
  <r>
    <s v="male"/>
    <s v="group D"/>
    <x v="3"/>
    <x v="0"/>
    <x v="0"/>
    <n v="75"/>
    <n v="68"/>
    <n v="64"/>
    <n v="69"/>
    <n v="1"/>
    <s v="Pass"/>
    <x v="0"/>
    <n v="11"/>
  </r>
  <r>
    <s v="male"/>
    <s v="group D"/>
    <x v="3"/>
    <x v="1"/>
    <x v="0"/>
    <n v="75"/>
    <n v="66"/>
    <n v="73"/>
    <n v="71.333333333333329"/>
    <n v="1"/>
    <s v="Pass"/>
    <x v="0"/>
    <n v="9"/>
  </r>
  <r>
    <s v="male"/>
    <s v="group C"/>
    <x v="4"/>
    <x v="0"/>
    <x v="0"/>
    <n v="70"/>
    <n v="56"/>
    <n v="51"/>
    <n v="59"/>
    <n v="0"/>
    <s v="At Risk"/>
    <x v="2"/>
    <n v="19"/>
  </r>
  <r>
    <s v="male"/>
    <s v="group D"/>
    <x v="5"/>
    <x v="0"/>
    <x v="1"/>
    <n v="89"/>
    <n v="88"/>
    <n v="82"/>
    <n v="86.333333333333329"/>
    <n v="1"/>
    <s v="Pass"/>
    <x v="1"/>
    <n v="7"/>
  </r>
  <r>
    <s v="female"/>
    <s v="group C"/>
    <x v="1"/>
    <x v="0"/>
    <x v="1"/>
    <n v="67"/>
    <n v="81"/>
    <n v="79"/>
    <n v="75.666666666666671"/>
    <n v="1"/>
    <s v="Pass"/>
    <x v="0"/>
    <n v="14"/>
  </r>
  <r>
    <s v="female"/>
    <s v="group D"/>
    <x v="4"/>
    <x v="0"/>
    <x v="0"/>
    <n v="78"/>
    <n v="81"/>
    <n v="80"/>
    <n v="79.666666666666671"/>
    <n v="1"/>
    <s v="Pass"/>
    <x v="0"/>
    <n v="3"/>
  </r>
  <r>
    <s v="female"/>
    <s v="group A"/>
    <x v="5"/>
    <x v="1"/>
    <x v="0"/>
    <n v="59"/>
    <n v="73"/>
    <n v="69"/>
    <n v="67"/>
    <n v="1"/>
    <s v="Pass"/>
    <x v="0"/>
    <n v="14"/>
  </r>
  <r>
    <s v="female"/>
    <s v="group B"/>
    <x v="3"/>
    <x v="0"/>
    <x v="0"/>
    <n v="73"/>
    <n v="83"/>
    <n v="76"/>
    <n v="77.333333333333329"/>
    <n v="1"/>
    <s v="Pass"/>
    <x v="0"/>
    <n v="10"/>
  </r>
  <r>
    <s v="male"/>
    <s v="group A"/>
    <x v="5"/>
    <x v="1"/>
    <x v="0"/>
    <n v="79"/>
    <n v="82"/>
    <n v="73"/>
    <n v="78"/>
    <n v="1"/>
    <s v="Pass"/>
    <x v="0"/>
    <n v="9"/>
  </r>
  <r>
    <s v="female"/>
    <s v="group C"/>
    <x v="5"/>
    <x v="0"/>
    <x v="1"/>
    <n v="67"/>
    <n v="74"/>
    <n v="77"/>
    <n v="72.666666666666671"/>
    <n v="1"/>
    <s v="Pass"/>
    <x v="0"/>
    <n v="10"/>
  </r>
  <r>
    <s v="male"/>
    <s v="group D"/>
    <x v="1"/>
    <x v="1"/>
    <x v="0"/>
    <n v="69"/>
    <n v="66"/>
    <n v="60"/>
    <n v="65"/>
    <n v="1"/>
    <s v="Pass"/>
    <x v="0"/>
    <n v="9"/>
  </r>
  <r>
    <s v="male"/>
    <s v="group C"/>
    <x v="4"/>
    <x v="0"/>
    <x v="1"/>
    <n v="86"/>
    <n v="81"/>
    <n v="80"/>
    <n v="82.333333333333329"/>
    <n v="1"/>
    <s v="Pass"/>
    <x v="1"/>
    <n v="6"/>
  </r>
  <r>
    <s v="male"/>
    <s v="group B"/>
    <x v="4"/>
    <x v="0"/>
    <x v="0"/>
    <n v="47"/>
    <n v="46"/>
    <n v="42"/>
    <n v="45"/>
    <n v="0"/>
    <s v="At Risk"/>
    <x v="2"/>
    <n v="5"/>
  </r>
  <r>
    <s v="male"/>
    <s v="group B"/>
    <x v="3"/>
    <x v="0"/>
    <x v="0"/>
    <n v="81"/>
    <n v="73"/>
    <n v="72"/>
    <n v="75.333333333333329"/>
    <n v="1"/>
    <s v="Pass"/>
    <x v="0"/>
    <n v="9"/>
  </r>
  <r>
    <s v="female"/>
    <s v="group C"/>
    <x v="1"/>
    <x v="1"/>
    <x v="1"/>
    <n v="64"/>
    <n v="85"/>
    <n v="85"/>
    <n v="78"/>
    <n v="1"/>
    <s v="Pass"/>
    <x v="0"/>
    <n v="21"/>
  </r>
  <r>
    <s v="female"/>
    <s v="group E"/>
    <x v="1"/>
    <x v="0"/>
    <x v="0"/>
    <n v="100"/>
    <n v="92"/>
    <n v="97"/>
    <n v="96.333333333333329"/>
    <n v="1"/>
    <s v="Pass"/>
    <x v="1"/>
    <n v="8"/>
  </r>
  <r>
    <s v="female"/>
    <s v="group C"/>
    <x v="3"/>
    <x v="1"/>
    <x v="0"/>
    <n v="65"/>
    <n v="77"/>
    <n v="74"/>
    <n v="72"/>
    <n v="1"/>
    <s v="Pass"/>
    <x v="0"/>
    <n v="12"/>
  </r>
  <r>
    <s v="male"/>
    <s v="group C"/>
    <x v="1"/>
    <x v="1"/>
    <x v="0"/>
    <n v="65"/>
    <n v="58"/>
    <n v="49"/>
    <n v="57.333333333333336"/>
    <n v="0"/>
    <s v="At Risk"/>
    <x v="2"/>
    <n v="16"/>
  </r>
  <r>
    <s v="female"/>
    <s v="group C"/>
    <x v="3"/>
    <x v="1"/>
    <x v="0"/>
    <n v="53"/>
    <n v="61"/>
    <n v="62"/>
    <n v="58.666666666666664"/>
    <n v="0"/>
    <s v="At Risk"/>
    <x v="2"/>
    <n v="9"/>
  </r>
  <r>
    <s v="male"/>
    <s v="group C"/>
    <x v="0"/>
    <x v="1"/>
    <x v="0"/>
    <n v="37"/>
    <n v="56"/>
    <n v="47"/>
    <n v="46.666666666666664"/>
    <n v="0"/>
    <s v="At Risk"/>
    <x v="2"/>
    <n v="19"/>
  </r>
  <r>
    <s v="female"/>
    <s v="group D"/>
    <x v="0"/>
    <x v="0"/>
    <x v="0"/>
    <n v="79"/>
    <n v="89"/>
    <n v="89"/>
    <n v="85.666666666666671"/>
    <n v="1"/>
    <s v="Pass"/>
    <x v="1"/>
    <n v="10"/>
  </r>
  <r>
    <s v="male"/>
    <s v="group D"/>
    <x v="3"/>
    <x v="1"/>
    <x v="0"/>
    <n v="53"/>
    <n v="54"/>
    <n v="48"/>
    <n v="51.666666666666664"/>
    <n v="0"/>
    <s v="At Risk"/>
    <x v="2"/>
    <n v="6"/>
  </r>
  <r>
    <s v="female"/>
    <s v="group E"/>
    <x v="0"/>
    <x v="0"/>
    <x v="0"/>
    <n v="100"/>
    <n v="100"/>
    <n v="100"/>
    <n v="100"/>
    <n v="1"/>
    <s v="Pass"/>
    <x v="1"/>
    <n v="0"/>
  </r>
  <r>
    <s v="male"/>
    <s v="group B"/>
    <x v="4"/>
    <x v="0"/>
    <x v="1"/>
    <n v="72"/>
    <n v="65"/>
    <n v="68"/>
    <n v="68.333333333333329"/>
    <n v="1"/>
    <s v="Pass"/>
    <x v="0"/>
    <n v="7"/>
  </r>
  <r>
    <s v="male"/>
    <s v="group C"/>
    <x v="0"/>
    <x v="1"/>
    <x v="0"/>
    <n v="53"/>
    <n v="58"/>
    <n v="55"/>
    <n v="55.333333333333336"/>
    <n v="0"/>
    <s v="At Risk"/>
    <x v="2"/>
    <n v="5"/>
  </r>
  <r>
    <s v="male"/>
    <s v="group B"/>
    <x v="1"/>
    <x v="1"/>
    <x v="0"/>
    <n v="54"/>
    <n v="54"/>
    <n v="45"/>
    <n v="51"/>
    <n v="0"/>
    <s v="At Risk"/>
    <x v="2"/>
    <n v="9"/>
  </r>
  <r>
    <s v="female"/>
    <s v="group E"/>
    <x v="1"/>
    <x v="0"/>
    <x v="0"/>
    <n v="71"/>
    <n v="70"/>
    <n v="76"/>
    <n v="72.333333333333329"/>
    <n v="1"/>
    <s v="Pass"/>
    <x v="0"/>
    <n v="6"/>
  </r>
  <r>
    <s v="female"/>
    <s v="group C"/>
    <x v="1"/>
    <x v="1"/>
    <x v="0"/>
    <n v="77"/>
    <n v="90"/>
    <n v="91"/>
    <n v="86"/>
    <n v="1"/>
    <s v="Pass"/>
    <x v="1"/>
    <n v="14"/>
  </r>
  <r>
    <s v="male"/>
    <s v="group A"/>
    <x v="0"/>
    <x v="0"/>
    <x v="1"/>
    <n v="75"/>
    <n v="58"/>
    <n v="62"/>
    <n v="65"/>
    <n v="1"/>
    <s v="Pass"/>
    <x v="0"/>
    <n v="17"/>
  </r>
  <r>
    <s v="female"/>
    <s v="group C"/>
    <x v="1"/>
    <x v="0"/>
    <x v="0"/>
    <n v="84"/>
    <n v="87"/>
    <n v="91"/>
    <n v="87.333333333333329"/>
    <n v="1"/>
    <s v="Pass"/>
    <x v="1"/>
    <n v="7"/>
  </r>
  <r>
    <s v="female"/>
    <s v="group D"/>
    <x v="3"/>
    <x v="1"/>
    <x v="0"/>
    <n v="26"/>
    <n v="31"/>
    <n v="38"/>
    <n v="31.666666666666668"/>
    <n v="0"/>
    <s v="At Risk"/>
    <x v="2"/>
    <n v="12"/>
  </r>
  <r>
    <s v="male"/>
    <s v="group A"/>
    <x v="4"/>
    <x v="1"/>
    <x v="1"/>
    <n v="72"/>
    <n v="67"/>
    <n v="65"/>
    <n v="68"/>
    <n v="1"/>
    <s v="Pass"/>
    <x v="0"/>
    <n v="7"/>
  </r>
  <r>
    <s v="female"/>
    <s v="group A"/>
    <x v="4"/>
    <x v="1"/>
    <x v="1"/>
    <n v="77"/>
    <n v="88"/>
    <n v="85"/>
    <n v="83.333333333333329"/>
    <n v="1"/>
    <s v="Pass"/>
    <x v="1"/>
    <n v="11"/>
  </r>
  <r>
    <s v="male"/>
    <s v="group C"/>
    <x v="1"/>
    <x v="0"/>
    <x v="0"/>
    <n v="91"/>
    <n v="74"/>
    <n v="76"/>
    <n v="80.333333333333329"/>
    <n v="1"/>
    <s v="Pass"/>
    <x v="1"/>
    <n v="17"/>
  </r>
  <r>
    <s v="female"/>
    <s v="group C"/>
    <x v="3"/>
    <x v="0"/>
    <x v="1"/>
    <n v="83"/>
    <n v="85"/>
    <n v="90"/>
    <n v="86"/>
    <n v="1"/>
    <s v="Pass"/>
    <x v="1"/>
    <n v="7"/>
  </r>
  <r>
    <s v="female"/>
    <s v="group C"/>
    <x v="4"/>
    <x v="0"/>
    <x v="0"/>
    <n v="63"/>
    <n v="69"/>
    <n v="74"/>
    <n v="68.666666666666671"/>
    <n v="1"/>
    <s v="Pass"/>
    <x v="0"/>
    <n v="11"/>
  </r>
  <r>
    <s v="female"/>
    <s v="group C"/>
    <x v="3"/>
    <x v="0"/>
    <x v="1"/>
    <n v="68"/>
    <n v="86"/>
    <n v="84"/>
    <n v="79.333333333333329"/>
    <n v="1"/>
    <s v="Pass"/>
    <x v="0"/>
    <n v="18"/>
  </r>
  <r>
    <s v="female"/>
    <s v="group D"/>
    <x v="5"/>
    <x v="0"/>
    <x v="0"/>
    <n v="59"/>
    <n v="67"/>
    <n v="61"/>
    <n v="62.333333333333336"/>
    <n v="1"/>
    <s v="Pass"/>
    <x v="0"/>
    <n v="8"/>
  </r>
  <r>
    <s v="female"/>
    <s v="group B"/>
    <x v="3"/>
    <x v="0"/>
    <x v="1"/>
    <n v="90"/>
    <n v="90"/>
    <n v="91"/>
    <n v="90.333333333333329"/>
    <n v="1"/>
    <s v="Pass"/>
    <x v="1"/>
    <n v="1"/>
  </r>
  <r>
    <s v="female"/>
    <s v="group D"/>
    <x v="0"/>
    <x v="0"/>
    <x v="1"/>
    <n v="71"/>
    <n v="76"/>
    <n v="83"/>
    <n v="76.666666666666671"/>
    <n v="1"/>
    <s v="Pass"/>
    <x v="0"/>
    <n v="12"/>
  </r>
  <r>
    <s v="male"/>
    <s v="group E"/>
    <x v="0"/>
    <x v="0"/>
    <x v="1"/>
    <n v="76"/>
    <n v="62"/>
    <n v="66"/>
    <n v="68"/>
    <n v="1"/>
    <s v="Pass"/>
    <x v="0"/>
    <n v="14"/>
  </r>
  <r>
    <s v="male"/>
    <s v="group D"/>
    <x v="3"/>
    <x v="0"/>
    <x v="0"/>
    <n v="80"/>
    <n v="68"/>
    <n v="72"/>
    <n v="73.333333333333329"/>
    <n v="1"/>
    <s v="Pass"/>
    <x v="0"/>
    <n v="12"/>
  </r>
  <r>
    <s v="female"/>
    <s v="group D"/>
    <x v="2"/>
    <x v="0"/>
    <x v="0"/>
    <n v="55"/>
    <n v="64"/>
    <n v="70"/>
    <n v="63"/>
    <n v="1"/>
    <s v="Pass"/>
    <x v="0"/>
    <n v="15"/>
  </r>
  <r>
    <s v="male"/>
    <s v="group E"/>
    <x v="3"/>
    <x v="0"/>
    <x v="0"/>
    <n v="76"/>
    <n v="71"/>
    <n v="67"/>
    <n v="71.333333333333329"/>
    <n v="1"/>
    <s v="Pass"/>
    <x v="0"/>
    <n v="9"/>
  </r>
  <r>
    <s v="male"/>
    <s v="group B"/>
    <x v="4"/>
    <x v="0"/>
    <x v="1"/>
    <n v="73"/>
    <n v="71"/>
    <n v="68"/>
    <n v="70.666666666666671"/>
    <n v="1"/>
    <s v="Pass"/>
    <x v="0"/>
    <n v="5"/>
  </r>
  <r>
    <s v="female"/>
    <s v="group D"/>
    <x v="3"/>
    <x v="1"/>
    <x v="0"/>
    <n v="52"/>
    <n v="59"/>
    <n v="56"/>
    <n v="55.666666666666664"/>
    <n v="0"/>
    <s v="At Risk"/>
    <x v="2"/>
    <n v="7"/>
  </r>
  <r>
    <s v="male"/>
    <s v="group C"/>
    <x v="1"/>
    <x v="1"/>
    <x v="0"/>
    <n v="68"/>
    <n v="68"/>
    <n v="61"/>
    <n v="65.666666666666671"/>
    <n v="1"/>
    <s v="Pass"/>
    <x v="0"/>
    <n v="7"/>
  </r>
  <r>
    <s v="male"/>
    <s v="group A"/>
    <x v="4"/>
    <x v="0"/>
    <x v="0"/>
    <n v="59"/>
    <n v="52"/>
    <n v="46"/>
    <n v="52.333333333333336"/>
    <n v="0"/>
    <s v="At Risk"/>
    <x v="2"/>
    <n v="13"/>
  </r>
  <r>
    <s v="female"/>
    <s v="group B"/>
    <x v="3"/>
    <x v="0"/>
    <x v="0"/>
    <n v="49"/>
    <n v="52"/>
    <n v="54"/>
    <n v="51.666666666666664"/>
    <n v="0"/>
    <s v="At Risk"/>
    <x v="2"/>
    <n v="5"/>
  </r>
  <r>
    <s v="male"/>
    <s v="group C"/>
    <x v="4"/>
    <x v="0"/>
    <x v="0"/>
    <n v="70"/>
    <n v="74"/>
    <n v="71"/>
    <n v="71.666666666666671"/>
    <n v="1"/>
    <s v="Pass"/>
    <x v="0"/>
    <n v="4"/>
  </r>
  <r>
    <s v="male"/>
    <s v="group D"/>
    <x v="1"/>
    <x v="1"/>
    <x v="0"/>
    <n v="61"/>
    <n v="47"/>
    <n v="56"/>
    <n v="54.666666666666664"/>
    <n v="0"/>
    <s v="At Risk"/>
    <x v="2"/>
    <n v="14"/>
  </r>
  <r>
    <s v="female"/>
    <s v="group C"/>
    <x v="3"/>
    <x v="1"/>
    <x v="0"/>
    <n v="60"/>
    <n v="75"/>
    <n v="74"/>
    <n v="69.666666666666671"/>
    <n v="1"/>
    <s v="Pass"/>
    <x v="0"/>
    <n v="15"/>
  </r>
  <r>
    <s v="male"/>
    <s v="group B"/>
    <x v="5"/>
    <x v="0"/>
    <x v="1"/>
    <n v="64"/>
    <n v="53"/>
    <n v="57"/>
    <n v="58"/>
    <n v="0"/>
    <s v="At Risk"/>
    <x v="2"/>
    <n v="11"/>
  </r>
  <r>
    <s v="male"/>
    <s v="group A"/>
    <x v="3"/>
    <x v="1"/>
    <x v="1"/>
    <n v="79"/>
    <n v="82"/>
    <n v="82"/>
    <n v="81"/>
    <n v="1"/>
    <s v="Pass"/>
    <x v="1"/>
    <n v="3"/>
  </r>
  <r>
    <s v="female"/>
    <s v="group A"/>
    <x v="3"/>
    <x v="1"/>
    <x v="0"/>
    <n v="65"/>
    <n v="85"/>
    <n v="76"/>
    <n v="75.333333333333329"/>
    <n v="1"/>
    <s v="Pass"/>
    <x v="0"/>
    <n v="20"/>
  </r>
  <r>
    <s v="female"/>
    <s v="group C"/>
    <x v="3"/>
    <x v="0"/>
    <x v="0"/>
    <n v="64"/>
    <n v="64"/>
    <n v="70"/>
    <n v="66"/>
    <n v="1"/>
    <s v="Pass"/>
    <x v="0"/>
    <n v="6"/>
  </r>
  <r>
    <s v="female"/>
    <s v="group C"/>
    <x v="1"/>
    <x v="0"/>
    <x v="0"/>
    <n v="83"/>
    <n v="83"/>
    <n v="90"/>
    <n v="85.333333333333329"/>
    <n v="1"/>
    <s v="Pass"/>
    <x v="1"/>
    <n v="7"/>
  </r>
  <r>
    <s v="female"/>
    <s v="group C"/>
    <x v="0"/>
    <x v="0"/>
    <x v="0"/>
    <n v="81"/>
    <n v="88"/>
    <n v="90"/>
    <n v="86.333333333333329"/>
    <n v="1"/>
    <s v="Pass"/>
    <x v="1"/>
    <n v="9"/>
  </r>
  <r>
    <s v="female"/>
    <s v="group B"/>
    <x v="4"/>
    <x v="0"/>
    <x v="0"/>
    <n v="54"/>
    <n v="64"/>
    <n v="68"/>
    <n v="62"/>
    <n v="1"/>
    <s v="Pass"/>
    <x v="0"/>
    <n v="14"/>
  </r>
  <r>
    <s v="male"/>
    <s v="group D"/>
    <x v="4"/>
    <x v="0"/>
    <x v="1"/>
    <n v="68"/>
    <n v="64"/>
    <n v="66"/>
    <n v="66"/>
    <n v="1"/>
    <s v="Pass"/>
    <x v="0"/>
    <n v="4"/>
  </r>
  <r>
    <s v="female"/>
    <s v="group C"/>
    <x v="1"/>
    <x v="0"/>
    <x v="0"/>
    <n v="54"/>
    <n v="48"/>
    <n v="52"/>
    <n v="51.333333333333336"/>
    <n v="0"/>
    <s v="At Risk"/>
    <x v="2"/>
    <n v="6"/>
  </r>
  <r>
    <s v="female"/>
    <s v="group D"/>
    <x v="1"/>
    <x v="1"/>
    <x v="1"/>
    <n v="59"/>
    <n v="78"/>
    <n v="76"/>
    <n v="71"/>
    <n v="1"/>
    <s v="Pass"/>
    <x v="0"/>
    <n v="19"/>
  </r>
  <r>
    <s v="female"/>
    <s v="group B"/>
    <x v="5"/>
    <x v="0"/>
    <x v="0"/>
    <n v="66"/>
    <n v="69"/>
    <n v="68"/>
    <n v="67.666666666666671"/>
    <n v="1"/>
    <s v="Pass"/>
    <x v="0"/>
    <n v="3"/>
  </r>
  <r>
    <s v="male"/>
    <s v="group E"/>
    <x v="1"/>
    <x v="0"/>
    <x v="0"/>
    <n v="76"/>
    <n v="71"/>
    <n v="72"/>
    <n v="73"/>
    <n v="1"/>
    <s v="Pass"/>
    <x v="0"/>
    <n v="5"/>
  </r>
  <r>
    <s v="female"/>
    <s v="group D"/>
    <x v="2"/>
    <x v="0"/>
    <x v="0"/>
    <n v="74"/>
    <n v="79"/>
    <n v="82"/>
    <n v="78.333333333333329"/>
    <n v="1"/>
    <s v="Pass"/>
    <x v="0"/>
    <n v="8"/>
  </r>
  <r>
    <s v="female"/>
    <s v="group B"/>
    <x v="3"/>
    <x v="0"/>
    <x v="1"/>
    <n v="94"/>
    <n v="87"/>
    <n v="92"/>
    <n v="91"/>
    <n v="1"/>
    <s v="Pass"/>
    <x v="1"/>
    <n v="7"/>
  </r>
  <r>
    <s v="male"/>
    <s v="group C"/>
    <x v="1"/>
    <x v="1"/>
    <x v="0"/>
    <n v="63"/>
    <n v="61"/>
    <n v="54"/>
    <n v="59.333333333333336"/>
    <n v="0"/>
    <s v="At Risk"/>
    <x v="2"/>
    <n v="9"/>
  </r>
  <r>
    <s v="female"/>
    <s v="group E"/>
    <x v="3"/>
    <x v="0"/>
    <x v="1"/>
    <n v="95"/>
    <n v="89"/>
    <n v="92"/>
    <n v="92"/>
    <n v="1"/>
    <s v="Pass"/>
    <x v="1"/>
    <n v="6"/>
  </r>
  <r>
    <s v="female"/>
    <s v="group D"/>
    <x v="2"/>
    <x v="1"/>
    <x v="0"/>
    <n v="40"/>
    <n v="59"/>
    <n v="54"/>
    <n v="51"/>
    <n v="0"/>
    <s v="At Risk"/>
    <x v="2"/>
    <n v="19"/>
  </r>
  <r>
    <s v="female"/>
    <s v="group B"/>
    <x v="5"/>
    <x v="0"/>
    <x v="0"/>
    <n v="82"/>
    <n v="82"/>
    <n v="80"/>
    <n v="81.333333333333329"/>
    <n v="1"/>
    <s v="Pass"/>
    <x v="1"/>
    <n v="2"/>
  </r>
  <r>
    <s v="male"/>
    <s v="group A"/>
    <x v="4"/>
    <x v="0"/>
    <x v="0"/>
    <n v="68"/>
    <n v="70"/>
    <n v="66"/>
    <n v="68"/>
    <n v="1"/>
    <s v="Pass"/>
    <x v="0"/>
    <n v="4"/>
  </r>
  <r>
    <s v="male"/>
    <s v="group B"/>
    <x v="0"/>
    <x v="1"/>
    <x v="0"/>
    <n v="55"/>
    <n v="59"/>
    <n v="54"/>
    <n v="56"/>
    <n v="0"/>
    <s v="At Risk"/>
    <x v="2"/>
    <n v="5"/>
  </r>
  <r>
    <s v="male"/>
    <s v="group C"/>
    <x v="2"/>
    <x v="0"/>
    <x v="0"/>
    <n v="79"/>
    <n v="78"/>
    <n v="77"/>
    <n v="78"/>
    <n v="1"/>
    <s v="Pass"/>
    <x v="0"/>
    <n v="2"/>
  </r>
  <r>
    <s v="female"/>
    <s v="group C"/>
    <x v="0"/>
    <x v="0"/>
    <x v="0"/>
    <n v="86"/>
    <n v="92"/>
    <n v="87"/>
    <n v="88.333333333333329"/>
    <n v="1"/>
    <s v="Pass"/>
    <x v="1"/>
    <n v="6"/>
  </r>
  <r>
    <s v="male"/>
    <s v="group D"/>
    <x v="1"/>
    <x v="0"/>
    <x v="0"/>
    <n v="76"/>
    <n v="71"/>
    <n v="73"/>
    <n v="73.333333333333329"/>
    <n v="1"/>
    <s v="Pass"/>
    <x v="0"/>
    <n v="5"/>
  </r>
  <r>
    <s v="male"/>
    <s v="group A"/>
    <x v="5"/>
    <x v="0"/>
    <x v="0"/>
    <n v="64"/>
    <n v="50"/>
    <n v="43"/>
    <n v="52.333333333333336"/>
    <n v="0"/>
    <s v="At Risk"/>
    <x v="2"/>
    <n v="21"/>
  </r>
  <r>
    <s v="male"/>
    <s v="group D"/>
    <x v="5"/>
    <x v="1"/>
    <x v="0"/>
    <n v="62"/>
    <n v="49"/>
    <n v="52"/>
    <n v="54.333333333333336"/>
    <n v="0"/>
    <s v="At Risk"/>
    <x v="2"/>
    <n v="13"/>
  </r>
  <r>
    <s v="female"/>
    <s v="group B"/>
    <x v="5"/>
    <x v="0"/>
    <x v="1"/>
    <n v="54"/>
    <n v="61"/>
    <n v="62"/>
    <n v="59"/>
    <n v="0"/>
    <s v="At Risk"/>
    <x v="2"/>
    <n v="8"/>
  </r>
  <r>
    <s v="female"/>
    <s v="group B"/>
    <x v="2"/>
    <x v="1"/>
    <x v="1"/>
    <n v="77"/>
    <n v="97"/>
    <n v="94"/>
    <n v="89.333333333333329"/>
    <n v="1"/>
    <s v="Pass"/>
    <x v="1"/>
    <n v="20"/>
  </r>
  <r>
    <s v="female"/>
    <s v="group C"/>
    <x v="5"/>
    <x v="0"/>
    <x v="1"/>
    <n v="76"/>
    <n v="87"/>
    <n v="85"/>
    <n v="82.666666666666671"/>
    <n v="1"/>
    <s v="Pass"/>
    <x v="1"/>
    <n v="11"/>
  </r>
  <r>
    <s v="female"/>
    <s v="group D"/>
    <x v="1"/>
    <x v="0"/>
    <x v="0"/>
    <n v="74"/>
    <n v="89"/>
    <n v="84"/>
    <n v="82.333333333333329"/>
    <n v="1"/>
    <s v="Pass"/>
    <x v="1"/>
    <n v="15"/>
  </r>
  <r>
    <s v="female"/>
    <s v="group E"/>
    <x v="1"/>
    <x v="0"/>
    <x v="1"/>
    <n v="66"/>
    <n v="74"/>
    <n v="73"/>
    <n v="71"/>
    <n v="1"/>
    <s v="Pass"/>
    <x v="0"/>
    <n v="8"/>
  </r>
  <r>
    <s v="female"/>
    <s v="group D"/>
    <x v="5"/>
    <x v="0"/>
    <x v="1"/>
    <n v="66"/>
    <n v="78"/>
    <n v="78"/>
    <n v="74"/>
    <n v="1"/>
    <s v="Pass"/>
    <x v="0"/>
    <n v="12"/>
  </r>
  <r>
    <s v="female"/>
    <s v="group B"/>
    <x v="4"/>
    <x v="1"/>
    <x v="1"/>
    <n v="67"/>
    <n v="78"/>
    <n v="79"/>
    <n v="74.666666666666671"/>
    <n v="1"/>
    <s v="Pass"/>
    <x v="0"/>
    <n v="12"/>
  </r>
  <r>
    <s v="male"/>
    <s v="group D"/>
    <x v="1"/>
    <x v="0"/>
    <x v="0"/>
    <n v="71"/>
    <n v="49"/>
    <n v="52"/>
    <n v="57.333333333333336"/>
    <n v="0"/>
    <s v="At Risk"/>
    <x v="2"/>
    <n v="22"/>
  </r>
  <r>
    <s v="female"/>
    <s v="group C"/>
    <x v="3"/>
    <x v="0"/>
    <x v="0"/>
    <n v="91"/>
    <n v="86"/>
    <n v="84"/>
    <n v="87"/>
    <n v="1"/>
    <s v="Pass"/>
    <x v="1"/>
    <n v="7"/>
  </r>
  <r>
    <s v="male"/>
    <s v="group D"/>
    <x v="0"/>
    <x v="0"/>
    <x v="0"/>
    <n v="69"/>
    <n v="58"/>
    <n v="57"/>
    <n v="61.333333333333336"/>
    <n v="1"/>
    <s v="Pass"/>
    <x v="0"/>
    <n v="12"/>
  </r>
  <r>
    <s v="male"/>
    <s v="group C"/>
    <x v="2"/>
    <x v="1"/>
    <x v="0"/>
    <n v="54"/>
    <n v="59"/>
    <n v="50"/>
    <n v="54.333333333333336"/>
    <n v="0"/>
    <s v="At Risk"/>
    <x v="2"/>
    <n v="9"/>
  </r>
  <r>
    <s v="male"/>
    <s v="group C"/>
    <x v="4"/>
    <x v="0"/>
    <x v="1"/>
    <n v="53"/>
    <n v="52"/>
    <n v="49"/>
    <n v="51.333333333333336"/>
    <n v="0"/>
    <s v="At Risk"/>
    <x v="2"/>
    <n v="4"/>
  </r>
  <r>
    <s v="male"/>
    <s v="group E"/>
    <x v="1"/>
    <x v="0"/>
    <x v="0"/>
    <n v="68"/>
    <n v="60"/>
    <n v="59"/>
    <n v="62.333333333333336"/>
    <n v="1"/>
    <s v="Pass"/>
    <x v="0"/>
    <n v="9"/>
  </r>
  <r>
    <s v="male"/>
    <s v="group C"/>
    <x v="5"/>
    <x v="1"/>
    <x v="1"/>
    <n v="56"/>
    <n v="61"/>
    <n v="60"/>
    <n v="59"/>
    <n v="0"/>
    <s v="At Risk"/>
    <x v="2"/>
    <n v="5"/>
  </r>
  <r>
    <s v="female"/>
    <s v="group C"/>
    <x v="4"/>
    <x v="1"/>
    <x v="0"/>
    <n v="36"/>
    <n v="53"/>
    <n v="43"/>
    <n v="44"/>
    <n v="0"/>
    <s v="At Risk"/>
    <x v="2"/>
    <n v="17"/>
  </r>
  <r>
    <s v="female"/>
    <s v="group D"/>
    <x v="0"/>
    <x v="1"/>
    <x v="0"/>
    <n v="29"/>
    <n v="41"/>
    <n v="47"/>
    <n v="39"/>
    <n v="0"/>
    <s v="At Risk"/>
    <x v="2"/>
    <n v="18"/>
  </r>
  <r>
    <s v="female"/>
    <s v="group C"/>
    <x v="3"/>
    <x v="0"/>
    <x v="0"/>
    <n v="62"/>
    <n v="74"/>
    <n v="70"/>
    <n v="68.666666666666671"/>
    <n v="1"/>
    <s v="Pass"/>
    <x v="0"/>
    <n v="12"/>
  </r>
  <r>
    <s v="female"/>
    <s v="group C"/>
    <x v="3"/>
    <x v="0"/>
    <x v="1"/>
    <n v="68"/>
    <n v="67"/>
    <n v="73"/>
    <n v="69.333333333333329"/>
    <n v="1"/>
    <s v="Pass"/>
    <x v="0"/>
    <n v="6"/>
  </r>
  <r>
    <s v="female"/>
    <s v="group C"/>
    <x v="5"/>
    <x v="0"/>
    <x v="0"/>
    <n v="47"/>
    <n v="54"/>
    <n v="53"/>
    <n v="51.333333333333336"/>
    <n v="0"/>
    <s v="At Risk"/>
    <x v="2"/>
    <n v="7"/>
  </r>
  <r>
    <s v="male"/>
    <s v="group E"/>
    <x v="3"/>
    <x v="0"/>
    <x v="1"/>
    <n v="62"/>
    <n v="61"/>
    <n v="58"/>
    <n v="60.333333333333336"/>
    <n v="1"/>
    <s v="Pass"/>
    <x v="0"/>
    <n v="4"/>
  </r>
  <r>
    <s v="female"/>
    <s v="group E"/>
    <x v="3"/>
    <x v="0"/>
    <x v="1"/>
    <n v="79"/>
    <n v="88"/>
    <n v="94"/>
    <n v="87"/>
    <n v="1"/>
    <s v="Pass"/>
    <x v="1"/>
    <n v="15"/>
  </r>
  <r>
    <s v="male"/>
    <s v="group B"/>
    <x v="4"/>
    <x v="0"/>
    <x v="1"/>
    <n v="73"/>
    <n v="69"/>
    <n v="68"/>
    <n v="70"/>
    <n v="1"/>
    <s v="Pass"/>
    <x v="0"/>
    <n v="5"/>
  </r>
  <r>
    <s v="female"/>
    <s v="group C"/>
    <x v="0"/>
    <x v="1"/>
    <x v="1"/>
    <n v="66"/>
    <n v="83"/>
    <n v="83"/>
    <n v="77.333333333333329"/>
    <n v="1"/>
    <s v="Pass"/>
    <x v="0"/>
    <n v="17"/>
  </r>
  <r>
    <s v="male"/>
    <s v="group C"/>
    <x v="3"/>
    <x v="0"/>
    <x v="1"/>
    <n v="51"/>
    <n v="60"/>
    <n v="58"/>
    <n v="56.333333333333336"/>
    <n v="0"/>
    <s v="At Risk"/>
    <x v="2"/>
    <n v="9"/>
  </r>
  <r>
    <s v="female"/>
    <s v="group D"/>
    <x v="4"/>
    <x v="0"/>
    <x v="0"/>
    <n v="51"/>
    <n v="66"/>
    <n v="62"/>
    <n v="59.666666666666664"/>
    <n v="0"/>
    <s v="At Risk"/>
    <x v="2"/>
    <n v="15"/>
  </r>
  <r>
    <s v="male"/>
    <s v="group E"/>
    <x v="0"/>
    <x v="0"/>
    <x v="1"/>
    <n v="85"/>
    <n v="66"/>
    <n v="71"/>
    <n v="74"/>
    <n v="1"/>
    <s v="Pass"/>
    <x v="0"/>
    <n v="19"/>
  </r>
  <r>
    <s v="male"/>
    <s v="group A"/>
    <x v="3"/>
    <x v="0"/>
    <x v="1"/>
    <n v="97"/>
    <n v="92"/>
    <n v="86"/>
    <n v="91.666666666666671"/>
    <n v="1"/>
    <s v="Pass"/>
    <x v="1"/>
    <n v="11"/>
  </r>
  <r>
    <s v="male"/>
    <s v="group C"/>
    <x v="4"/>
    <x v="0"/>
    <x v="1"/>
    <n v="75"/>
    <n v="69"/>
    <n v="68"/>
    <n v="70.666666666666671"/>
    <n v="1"/>
    <s v="Pass"/>
    <x v="0"/>
    <n v="7"/>
  </r>
  <r>
    <s v="male"/>
    <s v="group D"/>
    <x v="3"/>
    <x v="1"/>
    <x v="1"/>
    <n v="79"/>
    <n v="82"/>
    <n v="80"/>
    <n v="80.333333333333329"/>
    <n v="1"/>
    <s v="Pass"/>
    <x v="1"/>
    <n v="3"/>
  </r>
  <r>
    <s v="female"/>
    <s v="group C"/>
    <x v="3"/>
    <x v="0"/>
    <x v="0"/>
    <n v="81"/>
    <n v="77"/>
    <n v="79"/>
    <n v="79"/>
    <n v="1"/>
    <s v="Pass"/>
    <x v="0"/>
    <n v="4"/>
  </r>
  <r>
    <s v="female"/>
    <s v="group D"/>
    <x v="3"/>
    <x v="0"/>
    <x v="0"/>
    <n v="82"/>
    <n v="95"/>
    <n v="89"/>
    <n v="88.666666666666671"/>
    <n v="1"/>
    <s v="Pass"/>
    <x v="1"/>
    <n v="13"/>
  </r>
  <r>
    <s v="female"/>
    <s v="group D"/>
    <x v="2"/>
    <x v="0"/>
    <x v="0"/>
    <n v="64"/>
    <n v="63"/>
    <n v="66"/>
    <n v="64.333333333333329"/>
    <n v="1"/>
    <s v="Pass"/>
    <x v="0"/>
    <n v="3"/>
  </r>
  <r>
    <s v="male"/>
    <s v="group E"/>
    <x v="5"/>
    <x v="1"/>
    <x v="1"/>
    <n v="78"/>
    <n v="83"/>
    <n v="80"/>
    <n v="80.333333333333329"/>
    <n v="1"/>
    <s v="Pass"/>
    <x v="1"/>
    <n v="5"/>
  </r>
  <r>
    <s v="female"/>
    <s v="group A"/>
    <x v="5"/>
    <x v="0"/>
    <x v="1"/>
    <n v="92"/>
    <n v="100"/>
    <n v="97"/>
    <n v="96.333333333333329"/>
    <n v="1"/>
    <s v="Pass"/>
    <x v="1"/>
    <n v="8"/>
  </r>
  <r>
    <s v="male"/>
    <s v="group C"/>
    <x v="4"/>
    <x v="0"/>
    <x v="1"/>
    <n v="72"/>
    <n v="67"/>
    <n v="64"/>
    <n v="67.666666666666671"/>
    <n v="1"/>
    <s v="Pass"/>
    <x v="0"/>
    <n v="8"/>
  </r>
  <r>
    <s v="female"/>
    <s v="group C"/>
    <x v="4"/>
    <x v="1"/>
    <x v="0"/>
    <n v="62"/>
    <n v="67"/>
    <n v="64"/>
    <n v="64.333333333333329"/>
    <n v="1"/>
    <s v="Pass"/>
    <x v="0"/>
    <n v="5"/>
  </r>
  <r>
    <s v="male"/>
    <s v="group C"/>
    <x v="2"/>
    <x v="0"/>
    <x v="0"/>
    <n v="79"/>
    <n v="72"/>
    <n v="69"/>
    <n v="73.333333333333329"/>
    <n v="1"/>
    <s v="Pass"/>
    <x v="0"/>
    <n v="10"/>
  </r>
  <r>
    <s v="male"/>
    <s v="group C"/>
    <x v="5"/>
    <x v="1"/>
    <x v="0"/>
    <n v="79"/>
    <n v="76"/>
    <n v="65"/>
    <n v="73.333333333333329"/>
    <n v="1"/>
    <s v="Pass"/>
    <x v="0"/>
    <n v="14"/>
  </r>
  <r>
    <s v="male"/>
    <s v="group B"/>
    <x v="0"/>
    <x v="1"/>
    <x v="1"/>
    <n v="87"/>
    <n v="90"/>
    <n v="88"/>
    <n v="88.333333333333329"/>
    <n v="1"/>
    <s v="Pass"/>
    <x v="1"/>
    <n v="3"/>
  </r>
  <r>
    <s v="female"/>
    <s v="group B"/>
    <x v="3"/>
    <x v="0"/>
    <x v="0"/>
    <n v="40"/>
    <n v="48"/>
    <n v="50"/>
    <n v="46"/>
    <n v="0"/>
    <s v="At Risk"/>
    <x v="2"/>
    <n v="10"/>
  </r>
  <r>
    <s v="male"/>
    <s v="group D"/>
    <x v="1"/>
    <x v="1"/>
    <x v="0"/>
    <n v="77"/>
    <n v="62"/>
    <n v="64"/>
    <n v="67.666666666666671"/>
    <n v="1"/>
    <s v="Pass"/>
    <x v="0"/>
    <n v="15"/>
  </r>
  <r>
    <s v="male"/>
    <s v="group E"/>
    <x v="3"/>
    <x v="0"/>
    <x v="0"/>
    <n v="53"/>
    <n v="45"/>
    <n v="40"/>
    <n v="46"/>
    <n v="0"/>
    <s v="At Risk"/>
    <x v="2"/>
    <n v="13"/>
  </r>
  <r>
    <s v="female"/>
    <s v="group C"/>
    <x v="1"/>
    <x v="1"/>
    <x v="0"/>
    <n v="32"/>
    <n v="39"/>
    <n v="33"/>
    <n v="34.666666666666664"/>
    <n v="0"/>
    <s v="At Risk"/>
    <x v="2"/>
    <n v="7"/>
  </r>
  <r>
    <s v="female"/>
    <s v="group C"/>
    <x v="3"/>
    <x v="0"/>
    <x v="1"/>
    <n v="55"/>
    <n v="72"/>
    <n v="79"/>
    <n v="68.666666666666671"/>
    <n v="1"/>
    <s v="Pass"/>
    <x v="0"/>
    <n v="24"/>
  </r>
  <r>
    <s v="male"/>
    <s v="group C"/>
    <x v="2"/>
    <x v="1"/>
    <x v="0"/>
    <n v="61"/>
    <n v="67"/>
    <n v="66"/>
    <n v="64.666666666666671"/>
    <n v="1"/>
    <s v="Pass"/>
    <x v="0"/>
    <n v="6"/>
  </r>
  <r>
    <s v="female"/>
    <s v="group B"/>
    <x v="3"/>
    <x v="1"/>
    <x v="0"/>
    <n v="53"/>
    <n v="70"/>
    <n v="70"/>
    <n v="64.333333333333329"/>
    <n v="1"/>
    <s v="Pass"/>
    <x v="0"/>
    <n v="17"/>
  </r>
  <r>
    <s v="male"/>
    <s v="group D"/>
    <x v="5"/>
    <x v="0"/>
    <x v="0"/>
    <n v="73"/>
    <n v="66"/>
    <n v="62"/>
    <n v="67"/>
    <n v="1"/>
    <s v="Pass"/>
    <x v="0"/>
    <n v="11"/>
  </r>
  <r>
    <s v="female"/>
    <s v="group D"/>
    <x v="1"/>
    <x v="0"/>
    <x v="1"/>
    <n v="74"/>
    <n v="75"/>
    <n v="79"/>
    <n v="76"/>
    <n v="1"/>
    <s v="Pass"/>
    <x v="0"/>
    <n v="5"/>
  </r>
  <r>
    <s v="female"/>
    <s v="group C"/>
    <x v="1"/>
    <x v="0"/>
    <x v="0"/>
    <n v="63"/>
    <n v="74"/>
    <n v="74"/>
    <n v="70.333333333333329"/>
    <n v="1"/>
    <s v="Pass"/>
    <x v="0"/>
    <n v="11"/>
  </r>
  <r>
    <s v="male"/>
    <s v="group C"/>
    <x v="0"/>
    <x v="0"/>
    <x v="1"/>
    <n v="96"/>
    <n v="90"/>
    <n v="92"/>
    <n v="92.666666666666671"/>
    <n v="1"/>
    <s v="Pass"/>
    <x v="1"/>
    <n v="6"/>
  </r>
  <r>
    <s v="female"/>
    <s v="group D"/>
    <x v="1"/>
    <x v="1"/>
    <x v="1"/>
    <n v="63"/>
    <n v="80"/>
    <n v="80"/>
    <n v="74.333333333333329"/>
    <n v="1"/>
    <s v="Pass"/>
    <x v="0"/>
    <n v="17"/>
  </r>
  <r>
    <s v="male"/>
    <s v="group B"/>
    <x v="0"/>
    <x v="1"/>
    <x v="0"/>
    <n v="48"/>
    <n v="51"/>
    <n v="46"/>
    <n v="48.333333333333336"/>
    <n v="0"/>
    <s v="At Risk"/>
    <x v="2"/>
    <n v="5"/>
  </r>
  <r>
    <s v="male"/>
    <s v="group B"/>
    <x v="3"/>
    <x v="0"/>
    <x v="0"/>
    <n v="48"/>
    <n v="43"/>
    <n v="45"/>
    <n v="45.333333333333336"/>
    <n v="0"/>
    <s v="At Risk"/>
    <x v="2"/>
    <n v="5"/>
  </r>
  <r>
    <s v="female"/>
    <s v="group E"/>
    <x v="0"/>
    <x v="1"/>
    <x v="1"/>
    <n v="92"/>
    <n v="100"/>
    <n v="100"/>
    <n v="97.333333333333329"/>
    <n v="1"/>
    <s v="Pass"/>
    <x v="1"/>
    <n v="8"/>
  </r>
  <r>
    <s v="female"/>
    <s v="group D"/>
    <x v="2"/>
    <x v="1"/>
    <x v="1"/>
    <n v="61"/>
    <n v="71"/>
    <n v="78"/>
    <n v="70"/>
    <n v="1"/>
    <s v="Pass"/>
    <x v="0"/>
    <n v="17"/>
  </r>
  <r>
    <s v="male"/>
    <s v="group B"/>
    <x v="4"/>
    <x v="1"/>
    <x v="0"/>
    <n v="63"/>
    <n v="48"/>
    <n v="47"/>
    <n v="52.666666666666664"/>
    <n v="0"/>
    <s v="At Risk"/>
    <x v="2"/>
    <n v="16"/>
  </r>
  <r>
    <s v="male"/>
    <s v="group D"/>
    <x v="0"/>
    <x v="1"/>
    <x v="0"/>
    <n v="68"/>
    <n v="68"/>
    <n v="67"/>
    <n v="67.666666666666671"/>
    <n v="1"/>
    <s v="Pass"/>
    <x v="0"/>
    <n v="1"/>
  </r>
  <r>
    <s v="male"/>
    <s v="group B"/>
    <x v="1"/>
    <x v="0"/>
    <x v="1"/>
    <n v="71"/>
    <n v="75"/>
    <n v="70"/>
    <n v="72"/>
    <n v="1"/>
    <s v="Pass"/>
    <x v="0"/>
    <n v="5"/>
  </r>
  <r>
    <s v="male"/>
    <s v="group A"/>
    <x v="0"/>
    <x v="0"/>
    <x v="0"/>
    <n v="91"/>
    <n v="96"/>
    <n v="92"/>
    <n v="93"/>
    <n v="1"/>
    <s v="Pass"/>
    <x v="1"/>
    <n v="5"/>
  </r>
  <r>
    <s v="female"/>
    <s v="group C"/>
    <x v="1"/>
    <x v="0"/>
    <x v="0"/>
    <n v="53"/>
    <n v="62"/>
    <n v="56"/>
    <n v="57"/>
    <n v="0"/>
    <s v="At Risk"/>
    <x v="2"/>
    <n v="9"/>
  </r>
  <r>
    <s v="female"/>
    <s v="group C"/>
    <x v="4"/>
    <x v="1"/>
    <x v="1"/>
    <n v="50"/>
    <n v="66"/>
    <n v="64"/>
    <n v="60"/>
    <n v="1"/>
    <s v="Pass"/>
    <x v="0"/>
    <n v="16"/>
  </r>
  <r>
    <s v="female"/>
    <s v="group E"/>
    <x v="4"/>
    <x v="0"/>
    <x v="0"/>
    <n v="74"/>
    <n v="81"/>
    <n v="71"/>
    <n v="75.333333333333329"/>
    <n v="1"/>
    <s v="Pass"/>
    <x v="0"/>
    <n v="10"/>
  </r>
  <r>
    <s v="male"/>
    <s v="group A"/>
    <x v="3"/>
    <x v="1"/>
    <x v="1"/>
    <n v="40"/>
    <n v="55"/>
    <n v="53"/>
    <n v="49.333333333333336"/>
    <n v="0"/>
    <s v="At Risk"/>
    <x v="2"/>
    <n v="15"/>
  </r>
  <r>
    <s v="male"/>
    <s v="group A"/>
    <x v="1"/>
    <x v="0"/>
    <x v="1"/>
    <n v="61"/>
    <n v="51"/>
    <n v="52"/>
    <n v="54.666666666666664"/>
    <n v="0"/>
    <s v="At Risk"/>
    <x v="2"/>
    <n v="10"/>
  </r>
  <r>
    <s v="female"/>
    <s v="group B"/>
    <x v="4"/>
    <x v="0"/>
    <x v="0"/>
    <n v="81"/>
    <n v="91"/>
    <n v="89"/>
    <n v="87"/>
    <n v="1"/>
    <s v="Pass"/>
    <x v="1"/>
    <n v="10"/>
  </r>
  <r>
    <s v="female"/>
    <s v="group B"/>
    <x v="1"/>
    <x v="1"/>
    <x v="1"/>
    <n v="48"/>
    <n v="56"/>
    <n v="58"/>
    <n v="54"/>
    <n v="0"/>
    <s v="At Risk"/>
    <x v="2"/>
    <n v="10"/>
  </r>
  <r>
    <s v="female"/>
    <s v="group D"/>
    <x v="2"/>
    <x v="0"/>
    <x v="0"/>
    <n v="53"/>
    <n v="61"/>
    <n v="68"/>
    <n v="60.666666666666664"/>
    <n v="1"/>
    <s v="Pass"/>
    <x v="0"/>
    <n v="15"/>
  </r>
  <r>
    <s v="female"/>
    <s v="group D"/>
    <x v="5"/>
    <x v="0"/>
    <x v="0"/>
    <n v="81"/>
    <n v="97"/>
    <n v="96"/>
    <n v="91.333333333333329"/>
    <n v="1"/>
    <s v="Pass"/>
    <x v="1"/>
    <n v="16"/>
  </r>
  <r>
    <s v="female"/>
    <s v="group E"/>
    <x v="5"/>
    <x v="0"/>
    <x v="0"/>
    <n v="77"/>
    <n v="79"/>
    <n v="80"/>
    <n v="78.666666666666671"/>
    <n v="1"/>
    <s v="Pass"/>
    <x v="0"/>
    <n v="3"/>
  </r>
  <r>
    <s v="female"/>
    <s v="group D"/>
    <x v="0"/>
    <x v="1"/>
    <x v="0"/>
    <n v="63"/>
    <n v="73"/>
    <n v="78"/>
    <n v="71.333333333333329"/>
    <n v="1"/>
    <s v="Pass"/>
    <x v="0"/>
    <n v="15"/>
  </r>
  <r>
    <s v="female"/>
    <s v="group D"/>
    <x v="3"/>
    <x v="0"/>
    <x v="1"/>
    <n v="73"/>
    <n v="75"/>
    <n v="80"/>
    <n v="76"/>
    <n v="1"/>
    <s v="Pass"/>
    <x v="0"/>
    <n v="7"/>
  </r>
  <r>
    <s v="female"/>
    <s v="group D"/>
    <x v="1"/>
    <x v="0"/>
    <x v="0"/>
    <n v="69"/>
    <n v="77"/>
    <n v="77"/>
    <n v="74.333333333333329"/>
    <n v="1"/>
    <s v="Pass"/>
    <x v="0"/>
    <n v="8"/>
  </r>
  <r>
    <s v="female"/>
    <s v="group C"/>
    <x v="3"/>
    <x v="0"/>
    <x v="0"/>
    <n v="65"/>
    <n v="76"/>
    <n v="76"/>
    <n v="72.333333333333329"/>
    <n v="1"/>
    <s v="Pass"/>
    <x v="0"/>
    <n v="11"/>
  </r>
  <r>
    <s v="female"/>
    <s v="group A"/>
    <x v="4"/>
    <x v="0"/>
    <x v="0"/>
    <n v="55"/>
    <n v="73"/>
    <n v="73"/>
    <n v="67"/>
    <n v="1"/>
    <s v="Pass"/>
    <x v="0"/>
    <n v="18"/>
  </r>
  <r>
    <s v="female"/>
    <s v="group C"/>
    <x v="0"/>
    <x v="1"/>
    <x v="0"/>
    <n v="44"/>
    <n v="63"/>
    <n v="62"/>
    <n v="56.333333333333336"/>
    <n v="0"/>
    <s v="At Risk"/>
    <x v="2"/>
    <n v="19"/>
  </r>
  <r>
    <s v="female"/>
    <s v="group C"/>
    <x v="1"/>
    <x v="0"/>
    <x v="0"/>
    <n v="54"/>
    <n v="64"/>
    <n v="65"/>
    <n v="61"/>
    <n v="1"/>
    <s v="Pass"/>
    <x v="0"/>
    <n v="11"/>
  </r>
  <r>
    <s v="female"/>
    <s v="group A"/>
    <x v="5"/>
    <x v="0"/>
    <x v="0"/>
    <n v="48"/>
    <n v="66"/>
    <n v="65"/>
    <n v="59.666666666666664"/>
    <n v="0"/>
    <s v="At Risk"/>
    <x v="2"/>
    <n v="18"/>
  </r>
  <r>
    <s v="male"/>
    <s v="group C"/>
    <x v="1"/>
    <x v="1"/>
    <x v="0"/>
    <n v="58"/>
    <n v="57"/>
    <n v="54"/>
    <n v="56.333333333333336"/>
    <n v="0"/>
    <s v="At Risk"/>
    <x v="2"/>
    <n v="4"/>
  </r>
  <r>
    <s v="male"/>
    <s v="group A"/>
    <x v="5"/>
    <x v="0"/>
    <x v="0"/>
    <n v="71"/>
    <n v="62"/>
    <n v="50"/>
    <n v="61"/>
    <n v="1"/>
    <s v="Pass"/>
    <x v="0"/>
    <n v="21"/>
  </r>
  <r>
    <s v="male"/>
    <s v="group E"/>
    <x v="0"/>
    <x v="0"/>
    <x v="0"/>
    <n v="68"/>
    <n v="68"/>
    <n v="64"/>
    <n v="66.666666666666671"/>
    <n v="1"/>
    <s v="Pass"/>
    <x v="0"/>
    <n v="4"/>
  </r>
  <r>
    <s v="female"/>
    <s v="group E"/>
    <x v="4"/>
    <x v="0"/>
    <x v="0"/>
    <n v="74"/>
    <n v="76"/>
    <n v="73"/>
    <n v="74.333333333333329"/>
    <n v="1"/>
    <s v="Pass"/>
    <x v="0"/>
    <n v="3"/>
  </r>
  <r>
    <s v="female"/>
    <s v="group C"/>
    <x v="0"/>
    <x v="0"/>
    <x v="1"/>
    <n v="92"/>
    <n v="100"/>
    <n v="99"/>
    <n v="97"/>
    <n v="1"/>
    <s v="Pass"/>
    <x v="1"/>
    <n v="8"/>
  </r>
  <r>
    <s v="female"/>
    <s v="group C"/>
    <x v="0"/>
    <x v="0"/>
    <x v="1"/>
    <n v="56"/>
    <n v="79"/>
    <n v="72"/>
    <n v="69"/>
    <n v="1"/>
    <s v="Pass"/>
    <x v="0"/>
    <n v="23"/>
  </r>
  <r>
    <s v="male"/>
    <s v="group B"/>
    <x v="4"/>
    <x v="1"/>
    <x v="0"/>
    <n v="30"/>
    <n v="24"/>
    <n v="15"/>
    <n v="23"/>
    <n v="0"/>
    <s v="At Risk"/>
    <x v="2"/>
    <n v="15"/>
  </r>
  <r>
    <s v="male"/>
    <s v="group A"/>
    <x v="5"/>
    <x v="0"/>
    <x v="0"/>
    <n v="53"/>
    <n v="54"/>
    <n v="48"/>
    <n v="51.666666666666664"/>
    <n v="0"/>
    <s v="At Risk"/>
    <x v="2"/>
    <n v="6"/>
  </r>
  <r>
    <s v="female"/>
    <s v="group D"/>
    <x v="4"/>
    <x v="0"/>
    <x v="0"/>
    <n v="69"/>
    <n v="77"/>
    <n v="73"/>
    <n v="73"/>
    <n v="1"/>
    <s v="Pass"/>
    <x v="0"/>
    <n v="8"/>
  </r>
  <r>
    <s v="female"/>
    <s v="group D"/>
    <x v="5"/>
    <x v="0"/>
    <x v="0"/>
    <n v="65"/>
    <n v="82"/>
    <n v="81"/>
    <n v="76"/>
    <n v="1"/>
    <s v="Pass"/>
    <x v="0"/>
    <n v="17"/>
  </r>
  <r>
    <s v="female"/>
    <s v="group D"/>
    <x v="2"/>
    <x v="0"/>
    <x v="0"/>
    <n v="54"/>
    <n v="60"/>
    <n v="63"/>
    <n v="59"/>
    <n v="0"/>
    <s v="At Risk"/>
    <x v="2"/>
    <n v="9"/>
  </r>
  <r>
    <s v="female"/>
    <s v="group C"/>
    <x v="4"/>
    <x v="0"/>
    <x v="0"/>
    <n v="29"/>
    <n v="29"/>
    <n v="30"/>
    <n v="29.333333333333332"/>
    <n v="0"/>
    <s v="At Risk"/>
    <x v="2"/>
    <n v="1"/>
  </r>
  <r>
    <s v="female"/>
    <s v="group E"/>
    <x v="1"/>
    <x v="0"/>
    <x v="0"/>
    <n v="76"/>
    <n v="78"/>
    <n v="80"/>
    <n v="78"/>
    <n v="1"/>
    <s v="Pass"/>
    <x v="0"/>
    <n v="4"/>
  </r>
  <r>
    <s v="male"/>
    <s v="group D"/>
    <x v="4"/>
    <x v="1"/>
    <x v="0"/>
    <n v="60"/>
    <n v="57"/>
    <n v="51"/>
    <n v="56"/>
    <n v="0"/>
    <s v="At Risk"/>
    <x v="2"/>
    <n v="9"/>
  </r>
  <r>
    <s v="male"/>
    <s v="group D"/>
    <x v="2"/>
    <x v="1"/>
    <x v="1"/>
    <n v="84"/>
    <n v="89"/>
    <n v="90"/>
    <n v="87.666666666666671"/>
    <n v="1"/>
    <s v="Pass"/>
    <x v="1"/>
    <n v="6"/>
  </r>
  <r>
    <s v="male"/>
    <s v="group C"/>
    <x v="5"/>
    <x v="0"/>
    <x v="0"/>
    <n v="75"/>
    <n v="72"/>
    <n v="62"/>
    <n v="69.666666666666671"/>
    <n v="1"/>
    <s v="Pass"/>
    <x v="0"/>
    <n v="13"/>
  </r>
  <r>
    <s v="female"/>
    <s v="group C"/>
    <x v="3"/>
    <x v="0"/>
    <x v="0"/>
    <n v="85"/>
    <n v="84"/>
    <n v="82"/>
    <n v="83.666666666666671"/>
    <n v="1"/>
    <s v="Pass"/>
    <x v="1"/>
    <n v="3"/>
  </r>
  <r>
    <s v="female"/>
    <s v="group C"/>
    <x v="2"/>
    <x v="1"/>
    <x v="0"/>
    <n v="40"/>
    <n v="58"/>
    <n v="54"/>
    <n v="50.666666666666664"/>
    <n v="0"/>
    <s v="At Risk"/>
    <x v="2"/>
    <n v="18"/>
  </r>
  <r>
    <s v="female"/>
    <s v="group E"/>
    <x v="1"/>
    <x v="0"/>
    <x v="0"/>
    <n v="61"/>
    <n v="64"/>
    <n v="62"/>
    <n v="62.333333333333336"/>
    <n v="1"/>
    <s v="Pass"/>
    <x v="0"/>
    <n v="3"/>
  </r>
  <r>
    <s v="female"/>
    <s v="group B"/>
    <x v="3"/>
    <x v="0"/>
    <x v="0"/>
    <n v="58"/>
    <n v="63"/>
    <n v="65"/>
    <n v="62"/>
    <n v="1"/>
    <s v="Pass"/>
    <x v="0"/>
    <n v="7"/>
  </r>
  <r>
    <s v="male"/>
    <s v="group D"/>
    <x v="1"/>
    <x v="1"/>
    <x v="1"/>
    <n v="69"/>
    <n v="60"/>
    <n v="63"/>
    <n v="64"/>
    <n v="1"/>
    <s v="Pass"/>
    <x v="0"/>
    <n v="9"/>
  </r>
  <r>
    <s v="female"/>
    <s v="group C"/>
    <x v="1"/>
    <x v="0"/>
    <x v="0"/>
    <n v="58"/>
    <n v="59"/>
    <n v="66"/>
    <n v="61"/>
    <n v="1"/>
    <s v="Pass"/>
    <x v="0"/>
    <n v="8"/>
  </r>
  <r>
    <s v="male"/>
    <s v="group C"/>
    <x v="0"/>
    <x v="0"/>
    <x v="1"/>
    <n v="94"/>
    <n v="90"/>
    <n v="91"/>
    <n v="91.666666666666671"/>
    <n v="1"/>
    <s v="Pass"/>
    <x v="1"/>
    <n v="4"/>
  </r>
  <r>
    <s v="female"/>
    <s v="group C"/>
    <x v="3"/>
    <x v="0"/>
    <x v="0"/>
    <n v="65"/>
    <n v="77"/>
    <n v="74"/>
    <n v="72"/>
    <n v="1"/>
    <s v="Pass"/>
    <x v="0"/>
    <n v="12"/>
  </r>
  <r>
    <s v="female"/>
    <s v="group A"/>
    <x v="3"/>
    <x v="0"/>
    <x v="0"/>
    <n v="82"/>
    <n v="93"/>
    <n v="93"/>
    <n v="89.333333333333329"/>
    <n v="1"/>
    <s v="Pass"/>
    <x v="1"/>
    <n v="11"/>
  </r>
  <r>
    <s v="female"/>
    <s v="group C"/>
    <x v="4"/>
    <x v="0"/>
    <x v="0"/>
    <n v="60"/>
    <n v="68"/>
    <n v="72"/>
    <n v="66.666666666666671"/>
    <n v="1"/>
    <s v="Pass"/>
    <x v="0"/>
    <n v="12"/>
  </r>
  <r>
    <s v="female"/>
    <s v="group E"/>
    <x v="0"/>
    <x v="0"/>
    <x v="0"/>
    <n v="37"/>
    <n v="45"/>
    <n v="38"/>
    <n v="40"/>
    <n v="0"/>
    <s v="At Risk"/>
    <x v="2"/>
    <n v="8"/>
  </r>
  <r>
    <s v="male"/>
    <s v="group D"/>
    <x v="0"/>
    <x v="0"/>
    <x v="0"/>
    <n v="88"/>
    <n v="78"/>
    <n v="83"/>
    <n v="83"/>
    <n v="1"/>
    <s v="Pass"/>
    <x v="1"/>
    <n v="10"/>
  </r>
  <r>
    <s v="male"/>
    <s v="group D"/>
    <x v="2"/>
    <x v="0"/>
    <x v="0"/>
    <n v="95"/>
    <n v="81"/>
    <n v="84"/>
    <n v="86.666666666666671"/>
    <n v="1"/>
    <s v="Pass"/>
    <x v="1"/>
    <n v="14"/>
  </r>
  <r>
    <s v="male"/>
    <s v="group C"/>
    <x v="3"/>
    <x v="1"/>
    <x v="1"/>
    <n v="65"/>
    <n v="73"/>
    <n v="68"/>
    <n v="68.666666666666671"/>
    <n v="1"/>
    <s v="Pass"/>
    <x v="0"/>
    <n v="8"/>
  </r>
  <r>
    <s v="female"/>
    <s v="group C"/>
    <x v="4"/>
    <x v="1"/>
    <x v="0"/>
    <n v="35"/>
    <n v="61"/>
    <n v="54"/>
    <n v="50"/>
    <n v="0"/>
    <s v="At Risk"/>
    <x v="2"/>
    <n v="26"/>
  </r>
  <r>
    <s v="male"/>
    <s v="group B"/>
    <x v="0"/>
    <x v="1"/>
    <x v="0"/>
    <n v="62"/>
    <n v="63"/>
    <n v="56"/>
    <n v="60.333333333333336"/>
    <n v="1"/>
    <s v="Pass"/>
    <x v="0"/>
    <n v="7"/>
  </r>
  <r>
    <s v="male"/>
    <s v="group C"/>
    <x v="4"/>
    <x v="1"/>
    <x v="1"/>
    <n v="58"/>
    <n v="51"/>
    <n v="52"/>
    <n v="53.666666666666664"/>
    <n v="0"/>
    <s v="At Risk"/>
    <x v="2"/>
    <n v="7"/>
  </r>
  <r>
    <s v="male"/>
    <s v="group A"/>
    <x v="1"/>
    <x v="0"/>
    <x v="1"/>
    <n v="100"/>
    <n v="96"/>
    <n v="86"/>
    <n v="94"/>
    <n v="1"/>
    <s v="Pass"/>
    <x v="1"/>
    <n v="14"/>
  </r>
  <r>
    <s v="female"/>
    <s v="group E"/>
    <x v="0"/>
    <x v="1"/>
    <x v="0"/>
    <n v="61"/>
    <n v="58"/>
    <n v="62"/>
    <n v="60.333333333333336"/>
    <n v="1"/>
    <s v="Pass"/>
    <x v="0"/>
    <n v="4"/>
  </r>
  <r>
    <s v="male"/>
    <s v="group D"/>
    <x v="1"/>
    <x v="0"/>
    <x v="1"/>
    <n v="100"/>
    <n v="97"/>
    <n v="99"/>
    <n v="98.666666666666671"/>
    <n v="1"/>
    <s v="Pass"/>
    <x v="1"/>
    <n v="3"/>
  </r>
  <r>
    <s v="male"/>
    <s v="group B"/>
    <x v="3"/>
    <x v="1"/>
    <x v="1"/>
    <n v="69"/>
    <n v="70"/>
    <n v="63"/>
    <n v="67.333333333333329"/>
    <n v="1"/>
    <s v="Pass"/>
    <x v="0"/>
    <n v="7"/>
  </r>
  <r>
    <s v="male"/>
    <s v="group D"/>
    <x v="3"/>
    <x v="0"/>
    <x v="0"/>
    <n v="61"/>
    <n v="48"/>
    <n v="46"/>
    <n v="51.666666666666664"/>
    <n v="0"/>
    <s v="At Risk"/>
    <x v="2"/>
    <n v="15"/>
  </r>
  <r>
    <s v="male"/>
    <s v="group D"/>
    <x v="1"/>
    <x v="1"/>
    <x v="0"/>
    <n v="49"/>
    <n v="57"/>
    <n v="46"/>
    <n v="50.666666666666664"/>
    <n v="0"/>
    <s v="At Risk"/>
    <x v="2"/>
    <n v="11"/>
  </r>
  <r>
    <s v="female"/>
    <s v="group C"/>
    <x v="5"/>
    <x v="0"/>
    <x v="1"/>
    <n v="44"/>
    <n v="51"/>
    <n v="55"/>
    <n v="50"/>
    <n v="0"/>
    <s v="At Risk"/>
    <x v="2"/>
    <n v="11"/>
  </r>
  <r>
    <s v="male"/>
    <s v="group D"/>
    <x v="1"/>
    <x v="0"/>
    <x v="0"/>
    <n v="67"/>
    <n v="64"/>
    <n v="70"/>
    <n v="67"/>
    <n v="1"/>
    <s v="Pass"/>
    <x v="0"/>
    <n v="6"/>
  </r>
  <r>
    <s v="male"/>
    <s v="group B"/>
    <x v="4"/>
    <x v="0"/>
    <x v="0"/>
    <n v="79"/>
    <n v="60"/>
    <n v="65"/>
    <n v="68"/>
    <n v="1"/>
    <s v="Pass"/>
    <x v="0"/>
    <n v="19"/>
  </r>
  <r>
    <s v="female"/>
    <s v="group B"/>
    <x v="0"/>
    <x v="0"/>
    <x v="1"/>
    <n v="66"/>
    <n v="74"/>
    <n v="81"/>
    <n v="73.666666666666671"/>
    <n v="1"/>
    <s v="Pass"/>
    <x v="0"/>
    <n v="15"/>
  </r>
  <r>
    <s v="female"/>
    <s v="group C"/>
    <x v="4"/>
    <x v="0"/>
    <x v="0"/>
    <n v="75"/>
    <n v="88"/>
    <n v="85"/>
    <n v="82.666666666666671"/>
    <n v="1"/>
    <s v="Pass"/>
    <x v="1"/>
    <n v="13"/>
  </r>
  <r>
    <s v="male"/>
    <s v="group D"/>
    <x v="5"/>
    <x v="0"/>
    <x v="0"/>
    <n v="84"/>
    <n v="84"/>
    <n v="80"/>
    <n v="82.666666666666671"/>
    <n v="1"/>
    <s v="Pass"/>
    <x v="1"/>
    <n v="4"/>
  </r>
  <r>
    <s v="male"/>
    <s v="group A"/>
    <x v="4"/>
    <x v="0"/>
    <x v="0"/>
    <n v="71"/>
    <n v="74"/>
    <n v="64"/>
    <n v="69.666666666666671"/>
    <n v="1"/>
    <s v="Pass"/>
    <x v="0"/>
    <n v="10"/>
  </r>
  <r>
    <s v="female"/>
    <s v="group B"/>
    <x v="4"/>
    <x v="1"/>
    <x v="1"/>
    <n v="67"/>
    <n v="80"/>
    <n v="81"/>
    <n v="76"/>
    <n v="1"/>
    <s v="Pass"/>
    <x v="0"/>
    <n v="14"/>
  </r>
  <r>
    <s v="female"/>
    <s v="group D"/>
    <x v="5"/>
    <x v="0"/>
    <x v="1"/>
    <n v="80"/>
    <n v="92"/>
    <n v="88"/>
    <n v="86.666666666666671"/>
    <n v="1"/>
    <s v="Pass"/>
    <x v="1"/>
    <n v="12"/>
  </r>
  <r>
    <s v="male"/>
    <s v="group E"/>
    <x v="1"/>
    <x v="0"/>
    <x v="0"/>
    <n v="86"/>
    <n v="76"/>
    <n v="74"/>
    <n v="78.666666666666671"/>
    <n v="1"/>
    <s v="Pass"/>
    <x v="0"/>
    <n v="12"/>
  </r>
  <r>
    <s v="female"/>
    <s v="group D"/>
    <x v="3"/>
    <x v="0"/>
    <x v="0"/>
    <n v="76"/>
    <n v="74"/>
    <n v="73"/>
    <n v="74.333333333333329"/>
    <n v="1"/>
    <s v="Pass"/>
    <x v="0"/>
    <n v="3"/>
  </r>
  <r>
    <s v="male"/>
    <s v="group D"/>
    <x v="4"/>
    <x v="0"/>
    <x v="0"/>
    <n v="41"/>
    <n v="52"/>
    <n v="51"/>
    <n v="48"/>
    <n v="0"/>
    <s v="At Risk"/>
    <x v="2"/>
    <n v="11"/>
  </r>
  <r>
    <s v="female"/>
    <s v="group D"/>
    <x v="3"/>
    <x v="1"/>
    <x v="1"/>
    <n v="74"/>
    <n v="88"/>
    <n v="90"/>
    <n v="84"/>
    <n v="1"/>
    <s v="Pass"/>
    <x v="1"/>
    <n v="16"/>
  </r>
  <r>
    <s v="female"/>
    <s v="group B"/>
    <x v="5"/>
    <x v="1"/>
    <x v="0"/>
    <n v="72"/>
    <n v="81"/>
    <n v="79"/>
    <n v="77.333333333333329"/>
    <n v="1"/>
    <s v="Pass"/>
    <x v="0"/>
    <n v="9"/>
  </r>
  <r>
    <s v="female"/>
    <s v="group E"/>
    <x v="4"/>
    <x v="0"/>
    <x v="1"/>
    <n v="74"/>
    <n v="79"/>
    <n v="80"/>
    <n v="77.666666666666671"/>
    <n v="1"/>
    <s v="Pass"/>
    <x v="0"/>
    <n v="6"/>
  </r>
  <r>
    <s v="male"/>
    <s v="group B"/>
    <x v="4"/>
    <x v="0"/>
    <x v="0"/>
    <n v="70"/>
    <n v="65"/>
    <n v="60"/>
    <n v="65"/>
    <n v="1"/>
    <s v="Pass"/>
    <x v="0"/>
    <n v="10"/>
  </r>
  <r>
    <s v="female"/>
    <s v="group B"/>
    <x v="0"/>
    <x v="0"/>
    <x v="1"/>
    <n v="65"/>
    <n v="81"/>
    <n v="81"/>
    <n v="75.666666666666671"/>
    <n v="1"/>
    <s v="Pass"/>
    <x v="0"/>
    <n v="16"/>
  </r>
  <r>
    <s v="female"/>
    <s v="group D"/>
    <x v="3"/>
    <x v="0"/>
    <x v="0"/>
    <n v="59"/>
    <n v="70"/>
    <n v="65"/>
    <n v="64.666666666666671"/>
    <n v="1"/>
    <s v="Pass"/>
    <x v="0"/>
    <n v="11"/>
  </r>
  <r>
    <s v="female"/>
    <s v="group E"/>
    <x v="4"/>
    <x v="1"/>
    <x v="0"/>
    <n v="64"/>
    <n v="62"/>
    <n v="68"/>
    <n v="64.666666666666671"/>
    <n v="1"/>
    <s v="Pass"/>
    <x v="0"/>
    <n v="6"/>
  </r>
  <r>
    <s v="female"/>
    <s v="group B"/>
    <x v="4"/>
    <x v="0"/>
    <x v="0"/>
    <n v="50"/>
    <n v="53"/>
    <n v="55"/>
    <n v="52.666666666666664"/>
    <n v="0"/>
    <s v="At Risk"/>
    <x v="2"/>
    <n v="5"/>
  </r>
  <r>
    <s v="female"/>
    <s v="group D"/>
    <x v="1"/>
    <x v="0"/>
    <x v="1"/>
    <n v="69"/>
    <n v="79"/>
    <n v="81"/>
    <n v="76.333333333333329"/>
    <n v="1"/>
    <s v="Pass"/>
    <x v="0"/>
    <n v="12"/>
  </r>
  <r>
    <s v="male"/>
    <s v="group C"/>
    <x v="5"/>
    <x v="1"/>
    <x v="1"/>
    <n v="51"/>
    <n v="56"/>
    <n v="53"/>
    <n v="53.333333333333336"/>
    <n v="0"/>
    <s v="At Risk"/>
    <x v="2"/>
    <n v="5"/>
  </r>
  <r>
    <s v="female"/>
    <s v="group A"/>
    <x v="4"/>
    <x v="0"/>
    <x v="1"/>
    <n v="68"/>
    <n v="80"/>
    <n v="76"/>
    <n v="74.666666666666671"/>
    <n v="1"/>
    <s v="Pass"/>
    <x v="0"/>
    <n v="12"/>
  </r>
  <r>
    <s v="female"/>
    <s v="group D"/>
    <x v="1"/>
    <x v="0"/>
    <x v="1"/>
    <n v="85"/>
    <n v="86"/>
    <n v="98"/>
    <n v="89.666666666666671"/>
    <n v="1"/>
    <s v="Pass"/>
    <x v="1"/>
    <n v="13"/>
  </r>
  <r>
    <s v="female"/>
    <s v="group A"/>
    <x v="3"/>
    <x v="0"/>
    <x v="1"/>
    <n v="65"/>
    <n v="70"/>
    <n v="74"/>
    <n v="69.666666666666671"/>
    <n v="1"/>
    <s v="Pass"/>
    <x v="0"/>
    <n v="9"/>
  </r>
  <r>
    <s v="female"/>
    <s v="group B"/>
    <x v="5"/>
    <x v="0"/>
    <x v="0"/>
    <n v="73"/>
    <n v="79"/>
    <n v="79"/>
    <n v="77"/>
    <n v="1"/>
    <s v="Pass"/>
    <x v="0"/>
    <n v="6"/>
  </r>
  <r>
    <s v="female"/>
    <s v="group B"/>
    <x v="1"/>
    <x v="0"/>
    <x v="0"/>
    <n v="62"/>
    <n v="67"/>
    <n v="67"/>
    <n v="65.333333333333329"/>
    <n v="1"/>
    <s v="Pass"/>
    <x v="0"/>
    <n v="5"/>
  </r>
  <r>
    <s v="male"/>
    <s v="group C"/>
    <x v="3"/>
    <x v="1"/>
    <x v="0"/>
    <n v="77"/>
    <n v="67"/>
    <n v="64"/>
    <n v="69.333333333333329"/>
    <n v="1"/>
    <s v="Pass"/>
    <x v="0"/>
    <n v="13"/>
  </r>
  <r>
    <s v="male"/>
    <s v="group D"/>
    <x v="5"/>
    <x v="0"/>
    <x v="0"/>
    <n v="69"/>
    <n v="66"/>
    <n v="61"/>
    <n v="65.333333333333329"/>
    <n v="1"/>
    <s v="Pass"/>
    <x v="0"/>
    <n v="8"/>
  </r>
  <r>
    <s v="female"/>
    <s v="group D"/>
    <x v="3"/>
    <x v="1"/>
    <x v="0"/>
    <n v="43"/>
    <n v="60"/>
    <n v="58"/>
    <n v="53.666666666666664"/>
    <n v="0"/>
    <s v="At Risk"/>
    <x v="2"/>
    <n v="17"/>
  </r>
  <r>
    <s v="male"/>
    <s v="group D"/>
    <x v="3"/>
    <x v="0"/>
    <x v="0"/>
    <n v="90"/>
    <n v="87"/>
    <n v="85"/>
    <n v="87.333333333333329"/>
    <n v="1"/>
    <s v="Pass"/>
    <x v="1"/>
    <n v="5"/>
  </r>
  <r>
    <s v="male"/>
    <s v="group C"/>
    <x v="1"/>
    <x v="1"/>
    <x v="0"/>
    <n v="74"/>
    <n v="77"/>
    <n v="73"/>
    <n v="74.666666666666671"/>
    <n v="1"/>
    <s v="Pass"/>
    <x v="0"/>
    <n v="4"/>
  </r>
  <r>
    <s v="male"/>
    <s v="group C"/>
    <x v="5"/>
    <x v="0"/>
    <x v="0"/>
    <n v="73"/>
    <n v="66"/>
    <n v="63"/>
    <n v="67.333333333333329"/>
    <n v="1"/>
    <s v="Pass"/>
    <x v="0"/>
    <n v="10"/>
  </r>
  <r>
    <s v="female"/>
    <s v="group D"/>
    <x v="1"/>
    <x v="1"/>
    <x v="0"/>
    <n v="55"/>
    <n v="71"/>
    <n v="69"/>
    <n v="65"/>
    <n v="1"/>
    <s v="Pass"/>
    <x v="0"/>
    <n v="16"/>
  </r>
  <r>
    <s v="female"/>
    <s v="group C"/>
    <x v="4"/>
    <x v="0"/>
    <x v="0"/>
    <n v="65"/>
    <n v="69"/>
    <n v="67"/>
    <n v="67"/>
    <n v="1"/>
    <s v="Pass"/>
    <x v="0"/>
    <n v="4"/>
  </r>
  <r>
    <s v="male"/>
    <s v="group D"/>
    <x v="3"/>
    <x v="0"/>
    <x v="0"/>
    <n v="80"/>
    <n v="63"/>
    <n v="63"/>
    <n v="68.666666666666671"/>
    <n v="1"/>
    <s v="Pass"/>
    <x v="0"/>
    <n v="17"/>
  </r>
  <r>
    <s v="female"/>
    <s v="group C"/>
    <x v="5"/>
    <x v="1"/>
    <x v="1"/>
    <n v="50"/>
    <n v="60"/>
    <n v="60"/>
    <n v="56.666666666666664"/>
    <n v="0"/>
    <s v="At Risk"/>
    <x v="2"/>
    <n v="10"/>
  </r>
  <r>
    <s v="female"/>
    <s v="group C"/>
    <x v="1"/>
    <x v="1"/>
    <x v="1"/>
    <n v="63"/>
    <n v="73"/>
    <n v="71"/>
    <n v="69"/>
    <n v="1"/>
    <s v="Pass"/>
    <x v="0"/>
    <n v="10"/>
  </r>
  <r>
    <s v="female"/>
    <s v="group B"/>
    <x v="0"/>
    <x v="1"/>
    <x v="0"/>
    <n v="77"/>
    <n v="85"/>
    <n v="87"/>
    <n v="83"/>
    <n v="1"/>
    <s v="Pass"/>
    <x v="1"/>
    <n v="10"/>
  </r>
  <r>
    <s v="male"/>
    <s v="group C"/>
    <x v="1"/>
    <x v="0"/>
    <x v="0"/>
    <n v="73"/>
    <n v="74"/>
    <n v="61"/>
    <n v="69.333333333333329"/>
    <n v="1"/>
    <s v="Pass"/>
    <x v="0"/>
    <n v="13"/>
  </r>
  <r>
    <s v="male"/>
    <s v="group D"/>
    <x v="3"/>
    <x v="0"/>
    <x v="1"/>
    <n v="81"/>
    <n v="72"/>
    <n v="77"/>
    <n v="76.666666666666671"/>
    <n v="1"/>
    <s v="Pass"/>
    <x v="0"/>
    <n v="9"/>
  </r>
  <r>
    <s v="female"/>
    <s v="group C"/>
    <x v="4"/>
    <x v="1"/>
    <x v="0"/>
    <n v="66"/>
    <n v="76"/>
    <n v="68"/>
    <n v="70"/>
    <n v="1"/>
    <s v="Pass"/>
    <x v="0"/>
    <n v="10"/>
  </r>
  <r>
    <s v="male"/>
    <s v="group D"/>
    <x v="3"/>
    <x v="1"/>
    <x v="0"/>
    <n v="52"/>
    <n v="57"/>
    <n v="50"/>
    <n v="53"/>
    <n v="0"/>
    <s v="At Risk"/>
    <x v="2"/>
    <n v="7"/>
  </r>
  <r>
    <s v="female"/>
    <s v="group C"/>
    <x v="1"/>
    <x v="0"/>
    <x v="0"/>
    <n v="69"/>
    <n v="78"/>
    <n v="76"/>
    <n v="74.333333333333329"/>
    <n v="1"/>
    <s v="Pass"/>
    <x v="0"/>
    <n v="9"/>
  </r>
  <r>
    <s v="female"/>
    <s v="group C"/>
    <x v="3"/>
    <x v="0"/>
    <x v="1"/>
    <n v="65"/>
    <n v="84"/>
    <n v="84"/>
    <n v="77.666666666666671"/>
    <n v="1"/>
    <s v="Pass"/>
    <x v="0"/>
    <n v="19"/>
  </r>
  <r>
    <s v="female"/>
    <s v="group D"/>
    <x v="4"/>
    <x v="0"/>
    <x v="1"/>
    <n v="69"/>
    <n v="77"/>
    <n v="78"/>
    <n v="74.666666666666671"/>
    <n v="1"/>
    <s v="Pass"/>
    <x v="0"/>
    <n v="9"/>
  </r>
  <r>
    <s v="female"/>
    <s v="group B"/>
    <x v="1"/>
    <x v="0"/>
    <x v="1"/>
    <n v="50"/>
    <n v="64"/>
    <n v="66"/>
    <n v="60"/>
    <n v="1"/>
    <s v="Pass"/>
    <x v="0"/>
    <n v="16"/>
  </r>
  <r>
    <s v="female"/>
    <s v="group E"/>
    <x v="1"/>
    <x v="0"/>
    <x v="1"/>
    <n v="73"/>
    <n v="78"/>
    <n v="76"/>
    <n v="75.666666666666671"/>
    <n v="1"/>
    <s v="Pass"/>
    <x v="0"/>
    <n v="5"/>
  </r>
  <r>
    <s v="female"/>
    <s v="group C"/>
    <x v="5"/>
    <x v="0"/>
    <x v="1"/>
    <n v="70"/>
    <n v="82"/>
    <n v="76"/>
    <n v="76"/>
    <n v="1"/>
    <s v="Pass"/>
    <x v="0"/>
    <n v="12"/>
  </r>
  <r>
    <s v="male"/>
    <s v="group D"/>
    <x v="3"/>
    <x v="1"/>
    <x v="0"/>
    <n v="81"/>
    <n v="75"/>
    <n v="78"/>
    <n v="78"/>
    <n v="1"/>
    <s v="Pass"/>
    <x v="0"/>
    <n v="6"/>
  </r>
  <r>
    <s v="male"/>
    <s v="group D"/>
    <x v="1"/>
    <x v="1"/>
    <x v="0"/>
    <n v="63"/>
    <n v="61"/>
    <n v="60"/>
    <n v="61.333333333333336"/>
    <n v="1"/>
    <s v="Pass"/>
    <x v="0"/>
    <n v="3"/>
  </r>
  <r>
    <s v="female"/>
    <s v="group D"/>
    <x v="4"/>
    <x v="0"/>
    <x v="0"/>
    <n v="67"/>
    <n v="72"/>
    <n v="74"/>
    <n v="71"/>
    <n v="1"/>
    <s v="Pass"/>
    <x v="0"/>
    <n v="7"/>
  </r>
  <r>
    <s v="male"/>
    <s v="group B"/>
    <x v="4"/>
    <x v="0"/>
    <x v="0"/>
    <n v="60"/>
    <n v="68"/>
    <n v="60"/>
    <n v="62.666666666666664"/>
    <n v="1"/>
    <s v="Pass"/>
    <x v="0"/>
    <n v="8"/>
  </r>
  <r>
    <s v="male"/>
    <s v="group B"/>
    <x v="4"/>
    <x v="0"/>
    <x v="0"/>
    <n v="62"/>
    <n v="55"/>
    <n v="54"/>
    <n v="57"/>
    <n v="0"/>
    <s v="At Risk"/>
    <x v="2"/>
    <n v="8"/>
  </r>
  <r>
    <s v="female"/>
    <s v="group C"/>
    <x v="5"/>
    <x v="1"/>
    <x v="1"/>
    <n v="29"/>
    <n v="40"/>
    <n v="44"/>
    <n v="37.666666666666664"/>
    <n v="0"/>
    <s v="At Risk"/>
    <x v="2"/>
    <n v="15"/>
  </r>
  <r>
    <s v="male"/>
    <s v="group B"/>
    <x v="1"/>
    <x v="0"/>
    <x v="1"/>
    <n v="62"/>
    <n v="66"/>
    <n v="68"/>
    <n v="65.333333333333329"/>
    <n v="1"/>
    <s v="Pass"/>
    <x v="0"/>
    <n v="6"/>
  </r>
  <r>
    <s v="female"/>
    <s v="group E"/>
    <x v="2"/>
    <x v="0"/>
    <x v="1"/>
    <n v="94"/>
    <n v="99"/>
    <n v="100"/>
    <n v="97.666666666666671"/>
    <n v="1"/>
    <s v="Pass"/>
    <x v="1"/>
    <n v="6"/>
  </r>
  <r>
    <s v="male"/>
    <s v="group E"/>
    <x v="1"/>
    <x v="0"/>
    <x v="1"/>
    <n v="85"/>
    <n v="75"/>
    <n v="68"/>
    <n v="76"/>
    <n v="1"/>
    <s v="Pass"/>
    <x v="0"/>
    <n v="17"/>
  </r>
  <r>
    <s v="male"/>
    <s v="group D"/>
    <x v="3"/>
    <x v="1"/>
    <x v="0"/>
    <n v="77"/>
    <n v="78"/>
    <n v="73"/>
    <n v="76"/>
    <n v="1"/>
    <s v="Pass"/>
    <x v="0"/>
    <n v="5"/>
  </r>
  <r>
    <s v="male"/>
    <s v="group A"/>
    <x v="4"/>
    <x v="1"/>
    <x v="0"/>
    <n v="53"/>
    <n v="58"/>
    <n v="44"/>
    <n v="51.666666666666664"/>
    <n v="0"/>
    <s v="At Risk"/>
    <x v="2"/>
    <n v="14"/>
  </r>
  <r>
    <s v="male"/>
    <s v="group E"/>
    <x v="1"/>
    <x v="1"/>
    <x v="0"/>
    <n v="93"/>
    <n v="90"/>
    <n v="83"/>
    <n v="88.666666666666671"/>
    <n v="1"/>
    <s v="Pass"/>
    <x v="1"/>
    <n v="10"/>
  </r>
  <r>
    <s v="female"/>
    <s v="group C"/>
    <x v="3"/>
    <x v="0"/>
    <x v="0"/>
    <n v="49"/>
    <n v="53"/>
    <n v="53"/>
    <n v="51.666666666666664"/>
    <n v="0"/>
    <s v="At Risk"/>
    <x v="2"/>
    <n v="4"/>
  </r>
  <r>
    <s v="female"/>
    <s v="group E"/>
    <x v="3"/>
    <x v="1"/>
    <x v="0"/>
    <n v="73"/>
    <n v="76"/>
    <n v="78"/>
    <n v="75.666666666666671"/>
    <n v="1"/>
    <s v="Pass"/>
    <x v="0"/>
    <n v="5"/>
  </r>
  <r>
    <s v="female"/>
    <s v="group C"/>
    <x v="0"/>
    <x v="1"/>
    <x v="1"/>
    <n v="66"/>
    <n v="74"/>
    <n v="81"/>
    <n v="73.666666666666671"/>
    <n v="1"/>
    <s v="Pass"/>
    <x v="0"/>
    <n v="15"/>
  </r>
  <r>
    <s v="female"/>
    <s v="group D"/>
    <x v="3"/>
    <x v="0"/>
    <x v="0"/>
    <n v="77"/>
    <n v="77"/>
    <n v="73"/>
    <n v="75.666666666666671"/>
    <n v="1"/>
    <s v="Pass"/>
    <x v="0"/>
    <n v="4"/>
  </r>
  <r>
    <s v="female"/>
    <s v="group C"/>
    <x v="5"/>
    <x v="0"/>
    <x v="0"/>
    <n v="49"/>
    <n v="63"/>
    <n v="56"/>
    <n v="56"/>
    <n v="0"/>
    <s v="At Risk"/>
    <x v="2"/>
    <n v="14"/>
  </r>
  <r>
    <s v="female"/>
    <s v="group D"/>
    <x v="1"/>
    <x v="1"/>
    <x v="0"/>
    <n v="79"/>
    <n v="89"/>
    <n v="86"/>
    <n v="84.666666666666671"/>
    <n v="1"/>
    <s v="Pass"/>
    <x v="1"/>
    <n v="10"/>
  </r>
  <r>
    <s v="female"/>
    <s v="group C"/>
    <x v="3"/>
    <x v="0"/>
    <x v="1"/>
    <n v="75"/>
    <n v="82"/>
    <n v="90"/>
    <n v="82.333333333333329"/>
    <n v="1"/>
    <s v="Pass"/>
    <x v="1"/>
    <n v="15"/>
  </r>
  <r>
    <s v="female"/>
    <s v="group A"/>
    <x v="0"/>
    <x v="0"/>
    <x v="0"/>
    <n v="59"/>
    <n v="72"/>
    <n v="70"/>
    <n v="67"/>
    <n v="1"/>
    <s v="Pass"/>
    <x v="0"/>
    <n v="13"/>
  </r>
  <r>
    <s v="female"/>
    <s v="group D"/>
    <x v="3"/>
    <x v="0"/>
    <x v="1"/>
    <n v="57"/>
    <n v="78"/>
    <n v="79"/>
    <n v="71.333333333333329"/>
    <n v="1"/>
    <s v="Pass"/>
    <x v="0"/>
    <n v="22"/>
  </r>
  <r>
    <s v="male"/>
    <s v="group C"/>
    <x v="4"/>
    <x v="1"/>
    <x v="0"/>
    <n v="66"/>
    <n v="66"/>
    <n v="59"/>
    <n v="63.666666666666664"/>
    <n v="1"/>
    <s v="Pass"/>
    <x v="0"/>
    <n v="7"/>
  </r>
  <r>
    <s v="female"/>
    <s v="group E"/>
    <x v="0"/>
    <x v="0"/>
    <x v="1"/>
    <n v="79"/>
    <n v="81"/>
    <n v="82"/>
    <n v="80.666666666666671"/>
    <n v="1"/>
    <s v="Pass"/>
    <x v="1"/>
    <n v="3"/>
  </r>
  <r>
    <s v="female"/>
    <s v="group B"/>
    <x v="5"/>
    <x v="0"/>
    <x v="0"/>
    <n v="57"/>
    <n v="67"/>
    <n v="72"/>
    <n v="65.333333333333329"/>
    <n v="1"/>
    <s v="Pass"/>
    <x v="0"/>
    <n v="15"/>
  </r>
  <r>
    <s v="male"/>
    <s v="group A"/>
    <x v="0"/>
    <x v="0"/>
    <x v="1"/>
    <n v="87"/>
    <n v="84"/>
    <n v="87"/>
    <n v="86"/>
    <n v="1"/>
    <s v="Pass"/>
    <x v="1"/>
    <n v="3"/>
  </r>
  <r>
    <s v="female"/>
    <s v="group D"/>
    <x v="1"/>
    <x v="0"/>
    <x v="0"/>
    <n v="63"/>
    <n v="64"/>
    <n v="67"/>
    <n v="64.666666666666671"/>
    <n v="1"/>
    <s v="Pass"/>
    <x v="0"/>
    <n v="4"/>
  </r>
  <r>
    <s v="female"/>
    <s v="group B"/>
    <x v="5"/>
    <x v="1"/>
    <x v="1"/>
    <n v="59"/>
    <n v="63"/>
    <n v="64"/>
    <n v="62"/>
    <n v="1"/>
    <s v="Pass"/>
    <x v="0"/>
    <n v="5"/>
  </r>
  <r>
    <s v="male"/>
    <s v="group A"/>
    <x v="0"/>
    <x v="1"/>
    <x v="0"/>
    <n v="62"/>
    <n v="72"/>
    <n v="65"/>
    <n v="66.333333333333329"/>
    <n v="1"/>
    <s v="Pass"/>
    <x v="0"/>
    <n v="10"/>
  </r>
  <r>
    <s v="male"/>
    <s v="group D"/>
    <x v="4"/>
    <x v="0"/>
    <x v="0"/>
    <n v="46"/>
    <n v="34"/>
    <n v="36"/>
    <n v="38.666666666666664"/>
    <n v="0"/>
    <s v="At Risk"/>
    <x v="2"/>
    <n v="12"/>
  </r>
  <r>
    <s v="male"/>
    <s v="group C"/>
    <x v="1"/>
    <x v="0"/>
    <x v="0"/>
    <n v="66"/>
    <n v="59"/>
    <n v="52"/>
    <n v="59"/>
    <n v="0"/>
    <s v="At Risk"/>
    <x v="2"/>
    <n v="14"/>
  </r>
  <r>
    <s v="male"/>
    <s v="group D"/>
    <x v="4"/>
    <x v="0"/>
    <x v="0"/>
    <n v="89"/>
    <n v="87"/>
    <n v="79"/>
    <n v="85"/>
    <n v="1"/>
    <s v="Pass"/>
    <x v="1"/>
    <n v="10"/>
  </r>
  <r>
    <s v="female"/>
    <s v="group D"/>
    <x v="3"/>
    <x v="1"/>
    <x v="1"/>
    <n v="42"/>
    <n v="61"/>
    <n v="58"/>
    <n v="53.666666666666664"/>
    <n v="0"/>
    <s v="At Risk"/>
    <x v="2"/>
    <n v="19"/>
  </r>
  <r>
    <s v="male"/>
    <s v="group C"/>
    <x v="1"/>
    <x v="0"/>
    <x v="1"/>
    <n v="93"/>
    <n v="84"/>
    <n v="90"/>
    <n v="89"/>
    <n v="1"/>
    <s v="Pass"/>
    <x v="1"/>
    <n v="9"/>
  </r>
  <r>
    <s v="female"/>
    <s v="group E"/>
    <x v="5"/>
    <x v="0"/>
    <x v="1"/>
    <n v="80"/>
    <n v="85"/>
    <n v="85"/>
    <n v="83.333333333333329"/>
    <n v="1"/>
    <s v="Pass"/>
    <x v="1"/>
    <n v="5"/>
  </r>
  <r>
    <s v="female"/>
    <s v="group D"/>
    <x v="1"/>
    <x v="0"/>
    <x v="0"/>
    <n v="98"/>
    <n v="100"/>
    <n v="99"/>
    <n v="99"/>
    <n v="1"/>
    <s v="Pass"/>
    <x v="1"/>
    <n v="2"/>
  </r>
  <r>
    <s v="male"/>
    <s v="group D"/>
    <x v="2"/>
    <x v="0"/>
    <x v="0"/>
    <n v="81"/>
    <n v="81"/>
    <n v="84"/>
    <n v="82"/>
    <n v="1"/>
    <s v="Pass"/>
    <x v="1"/>
    <n v="3"/>
  </r>
  <r>
    <s v="female"/>
    <s v="group B"/>
    <x v="5"/>
    <x v="0"/>
    <x v="1"/>
    <n v="60"/>
    <n v="70"/>
    <n v="74"/>
    <n v="68"/>
    <n v="1"/>
    <s v="Pass"/>
    <x v="0"/>
    <n v="14"/>
  </r>
  <r>
    <s v="female"/>
    <s v="group B"/>
    <x v="3"/>
    <x v="1"/>
    <x v="1"/>
    <n v="76"/>
    <n v="94"/>
    <n v="87"/>
    <n v="85.666666666666671"/>
    <n v="1"/>
    <s v="Pass"/>
    <x v="1"/>
    <n v="18"/>
  </r>
  <r>
    <s v="male"/>
    <s v="group C"/>
    <x v="3"/>
    <x v="0"/>
    <x v="1"/>
    <n v="73"/>
    <n v="78"/>
    <n v="72"/>
    <n v="74.333333333333329"/>
    <n v="1"/>
    <s v="Pass"/>
    <x v="0"/>
    <n v="6"/>
  </r>
  <r>
    <s v="female"/>
    <s v="group C"/>
    <x v="3"/>
    <x v="0"/>
    <x v="1"/>
    <n v="96"/>
    <n v="96"/>
    <n v="99"/>
    <n v="97"/>
    <n v="1"/>
    <s v="Pass"/>
    <x v="1"/>
    <n v="3"/>
  </r>
  <r>
    <s v="female"/>
    <s v="group C"/>
    <x v="4"/>
    <x v="0"/>
    <x v="0"/>
    <n v="76"/>
    <n v="76"/>
    <n v="74"/>
    <n v="75.333333333333329"/>
    <n v="1"/>
    <s v="Pass"/>
    <x v="0"/>
    <n v="2"/>
  </r>
  <r>
    <s v="male"/>
    <s v="group E"/>
    <x v="3"/>
    <x v="1"/>
    <x v="1"/>
    <n v="91"/>
    <n v="73"/>
    <n v="80"/>
    <n v="81.333333333333329"/>
    <n v="1"/>
    <s v="Pass"/>
    <x v="1"/>
    <n v="18"/>
  </r>
  <r>
    <s v="female"/>
    <s v="group C"/>
    <x v="1"/>
    <x v="1"/>
    <x v="0"/>
    <n v="62"/>
    <n v="72"/>
    <n v="70"/>
    <n v="68"/>
    <n v="1"/>
    <s v="Pass"/>
    <x v="0"/>
    <n v="10"/>
  </r>
  <r>
    <s v="male"/>
    <s v="group D"/>
    <x v="5"/>
    <x v="1"/>
    <x v="1"/>
    <n v="55"/>
    <n v="59"/>
    <n v="59"/>
    <n v="57.666666666666664"/>
    <n v="0"/>
    <s v="At Risk"/>
    <x v="2"/>
    <n v="4"/>
  </r>
  <r>
    <s v="female"/>
    <s v="group B"/>
    <x v="5"/>
    <x v="1"/>
    <x v="1"/>
    <n v="74"/>
    <n v="90"/>
    <n v="88"/>
    <n v="84"/>
    <n v="1"/>
    <s v="Pass"/>
    <x v="1"/>
    <n v="16"/>
  </r>
  <r>
    <s v="male"/>
    <s v="group C"/>
    <x v="4"/>
    <x v="0"/>
    <x v="0"/>
    <n v="50"/>
    <n v="48"/>
    <n v="42"/>
    <n v="46.666666666666664"/>
    <n v="0"/>
    <s v="At Risk"/>
    <x v="2"/>
    <n v="8"/>
  </r>
  <r>
    <s v="male"/>
    <s v="group B"/>
    <x v="1"/>
    <x v="0"/>
    <x v="0"/>
    <n v="47"/>
    <n v="43"/>
    <n v="41"/>
    <n v="43.666666666666664"/>
    <n v="0"/>
    <s v="At Risk"/>
    <x v="2"/>
    <n v="6"/>
  </r>
  <r>
    <s v="male"/>
    <s v="group E"/>
    <x v="1"/>
    <x v="0"/>
    <x v="1"/>
    <n v="81"/>
    <n v="74"/>
    <n v="71"/>
    <n v="75.333333333333329"/>
    <n v="1"/>
    <s v="Pass"/>
    <x v="0"/>
    <n v="10"/>
  </r>
  <r>
    <s v="female"/>
    <s v="group E"/>
    <x v="3"/>
    <x v="0"/>
    <x v="1"/>
    <n v="65"/>
    <n v="75"/>
    <n v="77"/>
    <n v="72.333333333333329"/>
    <n v="1"/>
    <s v="Pass"/>
    <x v="0"/>
    <n v="12"/>
  </r>
  <r>
    <s v="male"/>
    <s v="group E"/>
    <x v="5"/>
    <x v="0"/>
    <x v="1"/>
    <n v="68"/>
    <n v="51"/>
    <n v="57"/>
    <n v="58.666666666666664"/>
    <n v="0"/>
    <s v="At Risk"/>
    <x v="2"/>
    <n v="17"/>
  </r>
  <r>
    <s v="female"/>
    <s v="group D"/>
    <x v="4"/>
    <x v="1"/>
    <x v="0"/>
    <n v="73"/>
    <n v="92"/>
    <n v="84"/>
    <n v="83"/>
    <n v="1"/>
    <s v="Pass"/>
    <x v="1"/>
    <n v="19"/>
  </r>
  <r>
    <s v="male"/>
    <s v="group C"/>
    <x v="1"/>
    <x v="0"/>
    <x v="0"/>
    <n v="53"/>
    <n v="39"/>
    <n v="37"/>
    <n v="43"/>
    <n v="0"/>
    <s v="At Risk"/>
    <x v="2"/>
    <n v="16"/>
  </r>
  <r>
    <s v="female"/>
    <s v="group B"/>
    <x v="3"/>
    <x v="1"/>
    <x v="1"/>
    <n v="68"/>
    <n v="77"/>
    <n v="80"/>
    <n v="75"/>
    <n v="1"/>
    <s v="Pass"/>
    <x v="0"/>
    <n v="12"/>
  </r>
  <r>
    <s v="male"/>
    <s v="group A"/>
    <x v="5"/>
    <x v="1"/>
    <x v="0"/>
    <n v="55"/>
    <n v="46"/>
    <n v="43"/>
    <n v="48"/>
    <n v="0"/>
    <s v="At Risk"/>
    <x v="2"/>
    <n v="12"/>
  </r>
  <r>
    <s v="female"/>
    <s v="group C"/>
    <x v="1"/>
    <x v="0"/>
    <x v="1"/>
    <n v="87"/>
    <n v="89"/>
    <n v="94"/>
    <n v="90"/>
    <n v="1"/>
    <s v="Pass"/>
    <x v="1"/>
    <n v="7"/>
  </r>
  <r>
    <s v="male"/>
    <s v="group D"/>
    <x v="5"/>
    <x v="0"/>
    <x v="0"/>
    <n v="55"/>
    <n v="47"/>
    <n v="44"/>
    <n v="48.666666666666664"/>
    <n v="0"/>
    <s v="At Risk"/>
    <x v="2"/>
    <n v="11"/>
  </r>
  <r>
    <s v="female"/>
    <s v="group E"/>
    <x v="1"/>
    <x v="1"/>
    <x v="0"/>
    <n v="53"/>
    <n v="58"/>
    <n v="57"/>
    <n v="56"/>
    <n v="0"/>
    <s v="At Risk"/>
    <x v="2"/>
    <n v="5"/>
  </r>
  <r>
    <s v="male"/>
    <s v="group C"/>
    <x v="2"/>
    <x v="0"/>
    <x v="0"/>
    <n v="67"/>
    <n v="57"/>
    <n v="59"/>
    <n v="61"/>
    <n v="1"/>
    <s v="Pass"/>
    <x v="0"/>
    <n v="10"/>
  </r>
  <r>
    <s v="male"/>
    <s v="group C"/>
    <x v="3"/>
    <x v="0"/>
    <x v="0"/>
    <n v="92"/>
    <n v="79"/>
    <n v="84"/>
    <n v="85"/>
    <n v="1"/>
    <s v="Pass"/>
    <x v="1"/>
    <n v="13"/>
  </r>
  <r>
    <s v="female"/>
    <s v="group B"/>
    <x v="1"/>
    <x v="1"/>
    <x v="1"/>
    <n v="53"/>
    <n v="66"/>
    <n v="73"/>
    <n v="64"/>
    <n v="1"/>
    <s v="Pass"/>
    <x v="0"/>
    <n v="20"/>
  </r>
  <r>
    <s v="male"/>
    <s v="group D"/>
    <x v="3"/>
    <x v="0"/>
    <x v="0"/>
    <n v="81"/>
    <n v="71"/>
    <n v="73"/>
    <n v="75"/>
    <n v="1"/>
    <s v="Pass"/>
    <x v="0"/>
    <n v="10"/>
  </r>
  <r>
    <s v="male"/>
    <s v="group C"/>
    <x v="4"/>
    <x v="1"/>
    <x v="0"/>
    <n v="61"/>
    <n v="60"/>
    <n v="55"/>
    <n v="58.666666666666664"/>
    <n v="0"/>
    <s v="At Risk"/>
    <x v="2"/>
    <n v="6"/>
  </r>
  <r>
    <s v="male"/>
    <s v="group D"/>
    <x v="0"/>
    <x v="0"/>
    <x v="0"/>
    <n v="80"/>
    <n v="73"/>
    <n v="72"/>
    <n v="75"/>
    <n v="1"/>
    <s v="Pass"/>
    <x v="0"/>
    <n v="8"/>
  </r>
  <r>
    <s v="female"/>
    <s v="group A"/>
    <x v="3"/>
    <x v="1"/>
    <x v="0"/>
    <n v="37"/>
    <n v="57"/>
    <n v="56"/>
    <n v="50"/>
    <n v="0"/>
    <s v="At Risk"/>
    <x v="2"/>
    <n v="20"/>
  </r>
  <r>
    <s v="female"/>
    <s v="group C"/>
    <x v="4"/>
    <x v="0"/>
    <x v="0"/>
    <n v="81"/>
    <n v="84"/>
    <n v="82"/>
    <n v="82.333333333333329"/>
    <n v="1"/>
    <s v="Pass"/>
    <x v="1"/>
    <n v="3"/>
  </r>
  <r>
    <s v="female"/>
    <s v="group C"/>
    <x v="3"/>
    <x v="0"/>
    <x v="1"/>
    <n v="59"/>
    <n v="73"/>
    <n v="72"/>
    <n v="68"/>
    <n v="1"/>
    <s v="Pass"/>
    <x v="0"/>
    <n v="14"/>
  </r>
  <r>
    <s v="male"/>
    <s v="group B"/>
    <x v="1"/>
    <x v="1"/>
    <x v="0"/>
    <n v="55"/>
    <n v="55"/>
    <n v="47"/>
    <n v="52.333333333333336"/>
    <n v="0"/>
    <s v="At Risk"/>
    <x v="2"/>
    <n v="8"/>
  </r>
  <r>
    <s v="male"/>
    <s v="group D"/>
    <x v="3"/>
    <x v="0"/>
    <x v="0"/>
    <n v="72"/>
    <n v="79"/>
    <n v="74"/>
    <n v="75"/>
    <n v="1"/>
    <s v="Pass"/>
    <x v="0"/>
    <n v="7"/>
  </r>
  <r>
    <s v="male"/>
    <s v="group D"/>
    <x v="4"/>
    <x v="0"/>
    <x v="0"/>
    <n v="69"/>
    <n v="75"/>
    <n v="71"/>
    <n v="71.666666666666671"/>
    <n v="1"/>
    <s v="Pass"/>
    <x v="0"/>
    <n v="6"/>
  </r>
  <r>
    <s v="male"/>
    <s v="group C"/>
    <x v="1"/>
    <x v="0"/>
    <x v="0"/>
    <n v="69"/>
    <n v="64"/>
    <n v="68"/>
    <n v="67"/>
    <n v="1"/>
    <s v="Pass"/>
    <x v="0"/>
    <n v="5"/>
  </r>
  <r>
    <s v="female"/>
    <s v="group C"/>
    <x v="0"/>
    <x v="1"/>
    <x v="0"/>
    <n v="50"/>
    <n v="60"/>
    <n v="59"/>
    <n v="56.333333333333336"/>
    <n v="0"/>
    <s v="At Risk"/>
    <x v="2"/>
    <n v="10"/>
  </r>
  <r>
    <s v="male"/>
    <s v="group B"/>
    <x v="1"/>
    <x v="0"/>
    <x v="1"/>
    <n v="87"/>
    <n v="84"/>
    <n v="86"/>
    <n v="85.666666666666671"/>
    <n v="1"/>
    <s v="Pass"/>
    <x v="1"/>
    <n v="3"/>
  </r>
  <r>
    <s v="male"/>
    <s v="group D"/>
    <x v="5"/>
    <x v="0"/>
    <x v="1"/>
    <n v="71"/>
    <n v="69"/>
    <n v="68"/>
    <n v="69.333333333333329"/>
    <n v="1"/>
    <s v="Pass"/>
    <x v="0"/>
    <n v="3"/>
  </r>
  <r>
    <s v="male"/>
    <s v="group E"/>
    <x v="1"/>
    <x v="0"/>
    <x v="0"/>
    <n v="68"/>
    <n v="72"/>
    <n v="65"/>
    <n v="68.333333333333329"/>
    <n v="1"/>
    <s v="Pass"/>
    <x v="0"/>
    <n v="7"/>
  </r>
  <r>
    <s v="male"/>
    <s v="group C"/>
    <x v="2"/>
    <x v="1"/>
    <x v="1"/>
    <n v="79"/>
    <n v="77"/>
    <n v="75"/>
    <n v="77"/>
    <n v="1"/>
    <s v="Pass"/>
    <x v="0"/>
    <n v="4"/>
  </r>
  <r>
    <s v="female"/>
    <s v="group C"/>
    <x v="5"/>
    <x v="0"/>
    <x v="1"/>
    <n v="77"/>
    <n v="90"/>
    <n v="85"/>
    <n v="84"/>
    <n v="1"/>
    <s v="Pass"/>
    <x v="1"/>
    <n v="13"/>
  </r>
  <r>
    <s v="male"/>
    <s v="group C"/>
    <x v="3"/>
    <x v="1"/>
    <x v="0"/>
    <n v="58"/>
    <n v="55"/>
    <n v="53"/>
    <n v="55.333333333333336"/>
    <n v="0"/>
    <s v="At Risk"/>
    <x v="2"/>
    <n v="5"/>
  </r>
  <r>
    <s v="female"/>
    <s v="group E"/>
    <x v="3"/>
    <x v="0"/>
    <x v="0"/>
    <n v="84"/>
    <n v="95"/>
    <n v="92"/>
    <n v="90.333333333333329"/>
    <n v="1"/>
    <s v="Pass"/>
    <x v="1"/>
    <n v="11"/>
  </r>
  <r>
    <s v="male"/>
    <s v="group D"/>
    <x v="1"/>
    <x v="0"/>
    <x v="0"/>
    <n v="55"/>
    <n v="58"/>
    <n v="52"/>
    <n v="55"/>
    <n v="0"/>
    <s v="At Risk"/>
    <x v="2"/>
    <n v="6"/>
  </r>
  <r>
    <s v="male"/>
    <s v="group E"/>
    <x v="0"/>
    <x v="1"/>
    <x v="1"/>
    <n v="70"/>
    <n v="68"/>
    <n v="72"/>
    <n v="70"/>
    <n v="1"/>
    <s v="Pass"/>
    <x v="0"/>
    <n v="4"/>
  </r>
  <r>
    <s v="female"/>
    <s v="group D"/>
    <x v="1"/>
    <x v="1"/>
    <x v="1"/>
    <n v="52"/>
    <n v="59"/>
    <n v="65"/>
    <n v="58.666666666666664"/>
    <n v="0"/>
    <s v="At Risk"/>
    <x v="2"/>
    <n v="13"/>
  </r>
  <r>
    <s v="male"/>
    <s v="group B"/>
    <x v="1"/>
    <x v="0"/>
    <x v="1"/>
    <n v="69"/>
    <n v="77"/>
    <n v="77"/>
    <n v="74.333333333333329"/>
    <n v="1"/>
    <s v="Pass"/>
    <x v="0"/>
    <n v="8"/>
  </r>
  <r>
    <s v="female"/>
    <s v="group C"/>
    <x v="4"/>
    <x v="1"/>
    <x v="0"/>
    <n v="53"/>
    <n v="72"/>
    <n v="64"/>
    <n v="63"/>
    <n v="1"/>
    <s v="Pass"/>
    <x v="0"/>
    <n v="19"/>
  </r>
  <r>
    <s v="female"/>
    <s v="group D"/>
    <x v="5"/>
    <x v="0"/>
    <x v="0"/>
    <n v="48"/>
    <n v="58"/>
    <n v="54"/>
    <n v="53.333333333333336"/>
    <n v="0"/>
    <s v="At Risk"/>
    <x v="2"/>
    <n v="10"/>
  </r>
  <r>
    <s v="male"/>
    <s v="group D"/>
    <x v="5"/>
    <x v="0"/>
    <x v="1"/>
    <n v="78"/>
    <n v="81"/>
    <n v="86"/>
    <n v="81.666666666666671"/>
    <n v="1"/>
    <s v="Pass"/>
    <x v="1"/>
    <n v="8"/>
  </r>
  <r>
    <s v="female"/>
    <s v="group B"/>
    <x v="4"/>
    <x v="0"/>
    <x v="0"/>
    <n v="62"/>
    <n v="62"/>
    <n v="63"/>
    <n v="62.333333333333336"/>
    <n v="1"/>
    <s v="Pass"/>
    <x v="0"/>
    <n v="1"/>
  </r>
  <r>
    <s v="male"/>
    <s v="group D"/>
    <x v="1"/>
    <x v="0"/>
    <x v="0"/>
    <n v="60"/>
    <n v="63"/>
    <n v="59"/>
    <n v="60.666666666666664"/>
    <n v="1"/>
    <s v="Pass"/>
    <x v="0"/>
    <n v="4"/>
  </r>
  <r>
    <s v="female"/>
    <s v="group B"/>
    <x v="4"/>
    <x v="0"/>
    <x v="0"/>
    <n v="74"/>
    <n v="72"/>
    <n v="72"/>
    <n v="72.666666666666671"/>
    <n v="1"/>
    <s v="Pass"/>
    <x v="0"/>
    <n v="2"/>
  </r>
  <r>
    <s v="female"/>
    <s v="group C"/>
    <x v="4"/>
    <x v="0"/>
    <x v="1"/>
    <n v="58"/>
    <n v="75"/>
    <n v="77"/>
    <n v="70"/>
    <n v="1"/>
    <s v="Pass"/>
    <x v="0"/>
    <n v="19"/>
  </r>
  <r>
    <s v="male"/>
    <s v="group B"/>
    <x v="4"/>
    <x v="0"/>
    <x v="1"/>
    <n v="76"/>
    <n v="62"/>
    <n v="60"/>
    <n v="66"/>
    <n v="1"/>
    <s v="Pass"/>
    <x v="0"/>
    <n v="16"/>
  </r>
  <r>
    <s v="female"/>
    <s v="group D"/>
    <x v="5"/>
    <x v="0"/>
    <x v="0"/>
    <n v="68"/>
    <n v="71"/>
    <n v="75"/>
    <n v="71.333333333333329"/>
    <n v="1"/>
    <s v="Pass"/>
    <x v="0"/>
    <n v="7"/>
  </r>
  <r>
    <s v="male"/>
    <s v="group A"/>
    <x v="1"/>
    <x v="1"/>
    <x v="0"/>
    <n v="58"/>
    <n v="60"/>
    <n v="57"/>
    <n v="58.333333333333336"/>
    <n v="0"/>
    <s v="At Risk"/>
    <x v="2"/>
    <n v="3"/>
  </r>
  <r>
    <s v="male"/>
    <s v="group B"/>
    <x v="4"/>
    <x v="0"/>
    <x v="0"/>
    <n v="52"/>
    <n v="48"/>
    <n v="49"/>
    <n v="49.666666666666664"/>
    <n v="0"/>
    <s v="At Risk"/>
    <x v="2"/>
    <n v="4"/>
  </r>
  <r>
    <s v="male"/>
    <s v="group D"/>
    <x v="0"/>
    <x v="0"/>
    <x v="0"/>
    <n v="75"/>
    <n v="73"/>
    <n v="74"/>
    <n v="74"/>
    <n v="1"/>
    <s v="Pass"/>
    <x v="0"/>
    <n v="2"/>
  </r>
  <r>
    <s v="female"/>
    <s v="group B"/>
    <x v="5"/>
    <x v="1"/>
    <x v="1"/>
    <n v="52"/>
    <n v="67"/>
    <n v="72"/>
    <n v="63.666666666666664"/>
    <n v="1"/>
    <s v="Pass"/>
    <x v="0"/>
    <n v="20"/>
  </r>
  <r>
    <s v="female"/>
    <s v="group C"/>
    <x v="0"/>
    <x v="1"/>
    <x v="0"/>
    <n v="62"/>
    <n v="78"/>
    <n v="79"/>
    <n v="73"/>
    <n v="1"/>
    <s v="Pass"/>
    <x v="0"/>
    <n v="17"/>
  </r>
  <r>
    <s v="male"/>
    <s v="group B"/>
    <x v="1"/>
    <x v="0"/>
    <x v="0"/>
    <n v="66"/>
    <n v="65"/>
    <n v="60"/>
    <n v="63.666666666666664"/>
    <n v="1"/>
    <s v="Pass"/>
    <x v="0"/>
    <n v="6"/>
  </r>
  <r>
    <s v="female"/>
    <s v="group B"/>
    <x v="5"/>
    <x v="1"/>
    <x v="0"/>
    <n v="49"/>
    <n v="58"/>
    <n v="55"/>
    <n v="54"/>
    <n v="0"/>
    <s v="At Risk"/>
    <x v="2"/>
    <n v="9"/>
  </r>
  <r>
    <s v="female"/>
    <s v="group B"/>
    <x v="4"/>
    <x v="0"/>
    <x v="0"/>
    <n v="66"/>
    <n v="72"/>
    <n v="70"/>
    <n v="69.333333333333329"/>
    <n v="1"/>
    <s v="Pass"/>
    <x v="0"/>
    <n v="6"/>
  </r>
  <r>
    <s v="female"/>
    <s v="group C"/>
    <x v="1"/>
    <x v="1"/>
    <x v="0"/>
    <n v="35"/>
    <n v="44"/>
    <n v="43"/>
    <n v="40.666666666666664"/>
    <n v="0"/>
    <s v="At Risk"/>
    <x v="2"/>
    <n v="9"/>
  </r>
  <r>
    <s v="female"/>
    <s v="group A"/>
    <x v="1"/>
    <x v="0"/>
    <x v="1"/>
    <n v="72"/>
    <n v="79"/>
    <n v="82"/>
    <n v="77.666666666666671"/>
    <n v="1"/>
    <s v="Pass"/>
    <x v="0"/>
    <n v="10"/>
  </r>
  <r>
    <s v="male"/>
    <s v="group E"/>
    <x v="3"/>
    <x v="0"/>
    <x v="1"/>
    <n v="94"/>
    <n v="85"/>
    <n v="82"/>
    <n v="87"/>
    <n v="1"/>
    <s v="Pass"/>
    <x v="1"/>
    <n v="12"/>
  </r>
  <r>
    <s v="female"/>
    <s v="group D"/>
    <x v="3"/>
    <x v="1"/>
    <x v="0"/>
    <n v="46"/>
    <n v="56"/>
    <n v="57"/>
    <n v="53"/>
    <n v="0"/>
    <s v="At Risk"/>
    <x v="2"/>
    <n v="11"/>
  </r>
  <r>
    <s v="female"/>
    <s v="group B"/>
    <x v="2"/>
    <x v="0"/>
    <x v="0"/>
    <n v="77"/>
    <n v="90"/>
    <n v="84"/>
    <n v="83.666666666666671"/>
    <n v="1"/>
    <s v="Pass"/>
    <x v="1"/>
    <n v="13"/>
  </r>
  <r>
    <s v="female"/>
    <s v="group B"/>
    <x v="4"/>
    <x v="1"/>
    <x v="1"/>
    <n v="76"/>
    <n v="85"/>
    <n v="82"/>
    <n v="81"/>
    <n v="1"/>
    <s v="Pass"/>
    <x v="1"/>
    <n v="9"/>
  </r>
  <r>
    <s v="female"/>
    <s v="group C"/>
    <x v="3"/>
    <x v="0"/>
    <x v="1"/>
    <n v="52"/>
    <n v="59"/>
    <n v="62"/>
    <n v="57.666666666666664"/>
    <n v="0"/>
    <s v="At Risk"/>
    <x v="2"/>
    <n v="10"/>
  </r>
  <r>
    <s v="male"/>
    <s v="group C"/>
    <x v="0"/>
    <x v="0"/>
    <x v="1"/>
    <n v="91"/>
    <n v="81"/>
    <n v="79"/>
    <n v="83.666666666666671"/>
    <n v="1"/>
    <s v="Pass"/>
    <x v="1"/>
    <n v="12"/>
  </r>
  <r>
    <s v="female"/>
    <s v="group B"/>
    <x v="5"/>
    <x v="0"/>
    <x v="1"/>
    <n v="32"/>
    <n v="51"/>
    <n v="44"/>
    <n v="42.333333333333336"/>
    <n v="0"/>
    <s v="At Risk"/>
    <x v="2"/>
    <n v="19"/>
  </r>
  <r>
    <s v="female"/>
    <s v="group E"/>
    <x v="5"/>
    <x v="1"/>
    <x v="0"/>
    <n v="72"/>
    <n v="79"/>
    <n v="77"/>
    <n v="76"/>
    <n v="1"/>
    <s v="Pass"/>
    <x v="0"/>
    <n v="7"/>
  </r>
  <r>
    <s v="female"/>
    <s v="group B"/>
    <x v="1"/>
    <x v="0"/>
    <x v="0"/>
    <n v="19"/>
    <n v="38"/>
    <n v="32"/>
    <n v="29.666666666666668"/>
    <n v="0"/>
    <s v="At Risk"/>
    <x v="2"/>
    <n v="19"/>
  </r>
  <r>
    <s v="male"/>
    <s v="group C"/>
    <x v="3"/>
    <x v="1"/>
    <x v="0"/>
    <n v="68"/>
    <n v="65"/>
    <n v="61"/>
    <n v="64.666666666666671"/>
    <n v="1"/>
    <s v="Pass"/>
    <x v="0"/>
    <n v="7"/>
  </r>
  <r>
    <s v="female"/>
    <s v="group C"/>
    <x v="2"/>
    <x v="1"/>
    <x v="0"/>
    <n v="52"/>
    <n v="65"/>
    <n v="61"/>
    <n v="59.333333333333336"/>
    <n v="0"/>
    <s v="At Risk"/>
    <x v="2"/>
    <n v="13"/>
  </r>
  <r>
    <s v="female"/>
    <s v="group B"/>
    <x v="4"/>
    <x v="0"/>
    <x v="0"/>
    <n v="48"/>
    <n v="62"/>
    <n v="60"/>
    <n v="56.666666666666664"/>
    <n v="0"/>
    <s v="At Risk"/>
    <x v="2"/>
    <n v="14"/>
  </r>
  <r>
    <s v="female"/>
    <s v="group D"/>
    <x v="1"/>
    <x v="1"/>
    <x v="0"/>
    <n v="60"/>
    <n v="66"/>
    <n v="70"/>
    <n v="65.333333333333329"/>
    <n v="1"/>
    <s v="Pass"/>
    <x v="0"/>
    <n v="10"/>
  </r>
  <r>
    <s v="male"/>
    <s v="group D"/>
    <x v="4"/>
    <x v="1"/>
    <x v="0"/>
    <n v="66"/>
    <n v="74"/>
    <n v="69"/>
    <n v="69.666666666666671"/>
    <n v="1"/>
    <s v="Pass"/>
    <x v="0"/>
    <n v="8"/>
  </r>
  <r>
    <s v="male"/>
    <s v="group E"/>
    <x v="5"/>
    <x v="0"/>
    <x v="1"/>
    <n v="89"/>
    <n v="84"/>
    <n v="77"/>
    <n v="83.333333333333329"/>
    <n v="1"/>
    <s v="Pass"/>
    <x v="1"/>
    <n v="12"/>
  </r>
  <r>
    <s v="female"/>
    <s v="group B"/>
    <x v="4"/>
    <x v="0"/>
    <x v="0"/>
    <n v="42"/>
    <n v="52"/>
    <n v="51"/>
    <n v="48.333333333333336"/>
    <n v="0"/>
    <s v="At Risk"/>
    <x v="2"/>
    <n v="10"/>
  </r>
  <r>
    <s v="female"/>
    <s v="group E"/>
    <x v="3"/>
    <x v="1"/>
    <x v="1"/>
    <n v="57"/>
    <n v="68"/>
    <n v="73"/>
    <n v="66"/>
    <n v="1"/>
    <s v="Pass"/>
    <x v="0"/>
    <n v="16"/>
  </r>
  <r>
    <s v="male"/>
    <s v="group D"/>
    <x v="4"/>
    <x v="0"/>
    <x v="0"/>
    <n v="70"/>
    <n v="70"/>
    <n v="70"/>
    <n v="70"/>
    <n v="1"/>
    <s v="Pass"/>
    <x v="0"/>
    <n v="0"/>
  </r>
  <r>
    <s v="female"/>
    <s v="group E"/>
    <x v="3"/>
    <x v="1"/>
    <x v="0"/>
    <n v="70"/>
    <n v="84"/>
    <n v="81"/>
    <n v="78.333333333333329"/>
    <n v="1"/>
    <s v="Pass"/>
    <x v="0"/>
    <n v="14"/>
  </r>
  <r>
    <s v="male"/>
    <s v="group E"/>
    <x v="1"/>
    <x v="0"/>
    <x v="0"/>
    <n v="69"/>
    <n v="60"/>
    <n v="54"/>
    <n v="61"/>
    <n v="1"/>
    <s v="Pass"/>
    <x v="0"/>
    <n v="15"/>
  </r>
  <r>
    <s v="female"/>
    <s v="group C"/>
    <x v="3"/>
    <x v="0"/>
    <x v="0"/>
    <n v="52"/>
    <n v="55"/>
    <n v="57"/>
    <n v="54.666666666666664"/>
    <n v="0"/>
    <s v="At Risk"/>
    <x v="2"/>
    <n v="5"/>
  </r>
  <r>
    <s v="male"/>
    <s v="group C"/>
    <x v="5"/>
    <x v="0"/>
    <x v="1"/>
    <n v="67"/>
    <n v="73"/>
    <n v="68"/>
    <n v="69.333333333333329"/>
    <n v="1"/>
    <s v="Pass"/>
    <x v="0"/>
    <n v="6"/>
  </r>
  <r>
    <s v="male"/>
    <s v="group C"/>
    <x v="5"/>
    <x v="0"/>
    <x v="1"/>
    <n v="76"/>
    <n v="80"/>
    <n v="73"/>
    <n v="76.333333333333329"/>
    <n v="1"/>
    <s v="Pass"/>
    <x v="0"/>
    <n v="7"/>
  </r>
  <r>
    <s v="female"/>
    <s v="group E"/>
    <x v="3"/>
    <x v="0"/>
    <x v="0"/>
    <n v="87"/>
    <n v="94"/>
    <n v="95"/>
    <n v="92"/>
    <n v="1"/>
    <s v="Pass"/>
    <x v="1"/>
    <n v="8"/>
  </r>
  <r>
    <s v="female"/>
    <s v="group B"/>
    <x v="1"/>
    <x v="0"/>
    <x v="0"/>
    <n v="82"/>
    <n v="85"/>
    <n v="87"/>
    <n v="84.666666666666671"/>
    <n v="1"/>
    <s v="Pass"/>
    <x v="1"/>
    <n v="5"/>
  </r>
  <r>
    <s v="female"/>
    <s v="group C"/>
    <x v="1"/>
    <x v="0"/>
    <x v="0"/>
    <n v="73"/>
    <n v="76"/>
    <n v="78"/>
    <n v="75.666666666666671"/>
    <n v="1"/>
    <s v="Pass"/>
    <x v="0"/>
    <n v="5"/>
  </r>
  <r>
    <s v="male"/>
    <s v="group A"/>
    <x v="1"/>
    <x v="1"/>
    <x v="0"/>
    <n v="75"/>
    <n v="81"/>
    <n v="74"/>
    <n v="76.666666666666671"/>
    <n v="1"/>
    <s v="Pass"/>
    <x v="0"/>
    <n v="7"/>
  </r>
  <r>
    <s v="female"/>
    <s v="group D"/>
    <x v="1"/>
    <x v="1"/>
    <x v="0"/>
    <n v="64"/>
    <n v="74"/>
    <n v="75"/>
    <n v="71"/>
    <n v="1"/>
    <s v="Pass"/>
    <x v="0"/>
    <n v="11"/>
  </r>
  <r>
    <s v="female"/>
    <s v="group E"/>
    <x v="4"/>
    <x v="1"/>
    <x v="0"/>
    <n v="41"/>
    <n v="45"/>
    <n v="40"/>
    <n v="42"/>
    <n v="0"/>
    <s v="At Risk"/>
    <x v="2"/>
    <n v="5"/>
  </r>
  <r>
    <s v="male"/>
    <s v="group C"/>
    <x v="4"/>
    <x v="0"/>
    <x v="0"/>
    <n v="90"/>
    <n v="75"/>
    <n v="69"/>
    <n v="78"/>
    <n v="1"/>
    <s v="Pass"/>
    <x v="0"/>
    <n v="21"/>
  </r>
  <r>
    <s v="male"/>
    <s v="group B"/>
    <x v="0"/>
    <x v="0"/>
    <x v="0"/>
    <n v="59"/>
    <n v="54"/>
    <n v="51"/>
    <n v="54.666666666666664"/>
    <n v="0"/>
    <s v="At Risk"/>
    <x v="2"/>
    <n v="8"/>
  </r>
  <r>
    <s v="male"/>
    <s v="group A"/>
    <x v="5"/>
    <x v="0"/>
    <x v="0"/>
    <n v="51"/>
    <n v="31"/>
    <n v="36"/>
    <n v="39.333333333333336"/>
    <n v="0"/>
    <s v="At Risk"/>
    <x v="2"/>
    <n v="20"/>
  </r>
  <r>
    <s v="male"/>
    <s v="group A"/>
    <x v="4"/>
    <x v="1"/>
    <x v="0"/>
    <n v="45"/>
    <n v="47"/>
    <n v="49"/>
    <n v="47"/>
    <n v="0"/>
    <s v="At Risk"/>
    <x v="2"/>
    <n v="4"/>
  </r>
  <r>
    <s v="female"/>
    <s v="group C"/>
    <x v="2"/>
    <x v="0"/>
    <x v="1"/>
    <n v="54"/>
    <n v="64"/>
    <n v="67"/>
    <n v="61.666666666666664"/>
    <n v="1"/>
    <s v="Pass"/>
    <x v="0"/>
    <n v="13"/>
  </r>
  <r>
    <s v="male"/>
    <s v="group E"/>
    <x v="5"/>
    <x v="0"/>
    <x v="1"/>
    <n v="87"/>
    <n v="84"/>
    <n v="76"/>
    <n v="82.333333333333329"/>
    <n v="1"/>
    <s v="Pass"/>
    <x v="1"/>
    <n v="11"/>
  </r>
  <r>
    <s v="female"/>
    <s v="group C"/>
    <x v="4"/>
    <x v="0"/>
    <x v="0"/>
    <n v="72"/>
    <n v="80"/>
    <n v="83"/>
    <n v="78.333333333333329"/>
    <n v="1"/>
    <s v="Pass"/>
    <x v="0"/>
    <n v="11"/>
  </r>
  <r>
    <s v="male"/>
    <s v="group B"/>
    <x v="5"/>
    <x v="0"/>
    <x v="1"/>
    <n v="94"/>
    <n v="86"/>
    <n v="87"/>
    <n v="89"/>
    <n v="1"/>
    <s v="Pass"/>
    <x v="1"/>
    <n v="8"/>
  </r>
  <r>
    <s v="female"/>
    <s v="group A"/>
    <x v="0"/>
    <x v="0"/>
    <x v="0"/>
    <n v="45"/>
    <n v="59"/>
    <n v="64"/>
    <n v="56"/>
    <n v="0"/>
    <s v="At Risk"/>
    <x v="2"/>
    <n v="19"/>
  </r>
  <r>
    <s v="male"/>
    <s v="group D"/>
    <x v="0"/>
    <x v="1"/>
    <x v="1"/>
    <n v="61"/>
    <n v="70"/>
    <n v="76"/>
    <n v="69"/>
    <n v="1"/>
    <s v="Pass"/>
    <x v="0"/>
    <n v="15"/>
  </r>
  <r>
    <s v="female"/>
    <s v="group B"/>
    <x v="4"/>
    <x v="1"/>
    <x v="0"/>
    <n v="60"/>
    <n v="72"/>
    <n v="68"/>
    <n v="66.666666666666671"/>
    <n v="1"/>
    <s v="Pass"/>
    <x v="0"/>
    <n v="12"/>
  </r>
  <r>
    <s v="female"/>
    <s v="group C"/>
    <x v="5"/>
    <x v="0"/>
    <x v="0"/>
    <n v="77"/>
    <n v="91"/>
    <n v="88"/>
    <n v="85.333333333333329"/>
    <n v="1"/>
    <s v="Pass"/>
    <x v="1"/>
    <n v="14"/>
  </r>
  <r>
    <s v="female"/>
    <s v="group A"/>
    <x v="5"/>
    <x v="0"/>
    <x v="1"/>
    <n v="85"/>
    <n v="90"/>
    <n v="92"/>
    <n v="89"/>
    <n v="1"/>
    <s v="Pass"/>
    <x v="1"/>
    <n v="7"/>
  </r>
  <r>
    <s v="female"/>
    <s v="group D"/>
    <x v="0"/>
    <x v="1"/>
    <x v="0"/>
    <n v="78"/>
    <n v="90"/>
    <n v="93"/>
    <n v="87"/>
    <n v="1"/>
    <s v="Pass"/>
    <x v="1"/>
    <n v="15"/>
  </r>
  <r>
    <s v="male"/>
    <s v="group E"/>
    <x v="1"/>
    <x v="1"/>
    <x v="1"/>
    <n v="49"/>
    <n v="52"/>
    <n v="51"/>
    <n v="50.666666666666664"/>
    <n v="0"/>
    <s v="At Risk"/>
    <x v="2"/>
    <n v="3"/>
  </r>
  <r>
    <s v="female"/>
    <s v="group B"/>
    <x v="4"/>
    <x v="1"/>
    <x v="0"/>
    <n v="71"/>
    <n v="87"/>
    <n v="82"/>
    <n v="80"/>
    <n v="1"/>
    <s v="Pass"/>
    <x v="1"/>
    <n v="16"/>
  </r>
  <r>
    <s v="female"/>
    <s v="group C"/>
    <x v="5"/>
    <x v="1"/>
    <x v="0"/>
    <n v="48"/>
    <n v="58"/>
    <n v="52"/>
    <n v="52.666666666666664"/>
    <n v="0"/>
    <s v="At Risk"/>
    <x v="2"/>
    <n v="10"/>
  </r>
  <r>
    <s v="male"/>
    <s v="group C"/>
    <x v="4"/>
    <x v="0"/>
    <x v="0"/>
    <n v="62"/>
    <n v="67"/>
    <n v="58"/>
    <n v="62.333333333333336"/>
    <n v="1"/>
    <s v="Pass"/>
    <x v="0"/>
    <n v="9"/>
  </r>
  <r>
    <s v="female"/>
    <s v="group C"/>
    <x v="3"/>
    <x v="1"/>
    <x v="1"/>
    <n v="56"/>
    <n v="68"/>
    <n v="70"/>
    <n v="64.666666666666671"/>
    <n v="1"/>
    <s v="Pass"/>
    <x v="0"/>
    <n v="14"/>
  </r>
  <r>
    <s v="female"/>
    <s v="group C"/>
    <x v="5"/>
    <x v="0"/>
    <x v="0"/>
    <n v="65"/>
    <n v="69"/>
    <n v="76"/>
    <n v="70"/>
    <n v="1"/>
    <s v="Pass"/>
    <x v="0"/>
    <n v="11"/>
  </r>
  <r>
    <s v="female"/>
    <s v="group D"/>
    <x v="5"/>
    <x v="1"/>
    <x v="1"/>
    <n v="69"/>
    <n v="86"/>
    <n v="81"/>
    <n v="78.666666666666671"/>
    <n v="1"/>
    <s v="Pass"/>
    <x v="0"/>
    <n v="17"/>
  </r>
  <r>
    <s v="male"/>
    <s v="group B"/>
    <x v="5"/>
    <x v="0"/>
    <x v="0"/>
    <n v="68"/>
    <n v="54"/>
    <n v="53"/>
    <n v="58.333333333333336"/>
    <n v="0"/>
    <s v="At Risk"/>
    <x v="2"/>
    <n v="15"/>
  </r>
  <r>
    <s v="female"/>
    <s v="group A"/>
    <x v="1"/>
    <x v="1"/>
    <x v="0"/>
    <n v="61"/>
    <n v="60"/>
    <n v="57"/>
    <n v="59.333333333333336"/>
    <n v="0"/>
    <s v="At Risk"/>
    <x v="2"/>
    <n v="4"/>
  </r>
  <r>
    <s v="female"/>
    <s v="group C"/>
    <x v="0"/>
    <x v="1"/>
    <x v="1"/>
    <n v="74"/>
    <n v="86"/>
    <n v="89"/>
    <n v="83"/>
    <n v="1"/>
    <s v="Pass"/>
    <x v="1"/>
    <n v="15"/>
  </r>
  <r>
    <s v="male"/>
    <s v="group A"/>
    <x v="0"/>
    <x v="0"/>
    <x v="0"/>
    <n v="64"/>
    <n v="60"/>
    <n v="58"/>
    <n v="60.666666666666664"/>
    <n v="1"/>
    <s v="Pass"/>
    <x v="0"/>
    <n v="6"/>
  </r>
  <r>
    <s v="female"/>
    <s v="group B"/>
    <x v="4"/>
    <x v="0"/>
    <x v="1"/>
    <n v="77"/>
    <n v="82"/>
    <n v="89"/>
    <n v="82.666666666666671"/>
    <n v="1"/>
    <s v="Pass"/>
    <x v="1"/>
    <n v="12"/>
  </r>
  <r>
    <s v="male"/>
    <s v="group B"/>
    <x v="1"/>
    <x v="0"/>
    <x v="0"/>
    <n v="58"/>
    <n v="50"/>
    <n v="45"/>
    <n v="51"/>
    <n v="0"/>
    <s v="At Risk"/>
    <x v="2"/>
    <n v="13"/>
  </r>
  <r>
    <s v="female"/>
    <s v="group C"/>
    <x v="4"/>
    <x v="0"/>
    <x v="1"/>
    <n v="60"/>
    <n v="64"/>
    <n v="74"/>
    <n v="66"/>
    <n v="1"/>
    <s v="Pass"/>
    <x v="0"/>
    <n v="14"/>
  </r>
  <r>
    <s v="male"/>
    <s v="group E"/>
    <x v="4"/>
    <x v="0"/>
    <x v="0"/>
    <n v="73"/>
    <n v="64"/>
    <n v="57"/>
    <n v="64.666666666666671"/>
    <n v="1"/>
    <s v="Pass"/>
    <x v="0"/>
    <n v="16"/>
  </r>
  <r>
    <s v="female"/>
    <s v="group A"/>
    <x v="4"/>
    <x v="0"/>
    <x v="1"/>
    <n v="75"/>
    <n v="82"/>
    <n v="79"/>
    <n v="78.666666666666671"/>
    <n v="1"/>
    <s v="Pass"/>
    <x v="0"/>
    <n v="7"/>
  </r>
  <r>
    <s v="male"/>
    <s v="group B"/>
    <x v="3"/>
    <x v="1"/>
    <x v="1"/>
    <n v="58"/>
    <n v="57"/>
    <n v="53"/>
    <n v="56"/>
    <n v="0"/>
    <s v="At Risk"/>
    <x v="2"/>
    <n v="5"/>
  </r>
  <r>
    <s v="female"/>
    <s v="group C"/>
    <x v="3"/>
    <x v="0"/>
    <x v="0"/>
    <n v="66"/>
    <n v="77"/>
    <n v="73"/>
    <n v="72"/>
    <n v="1"/>
    <s v="Pass"/>
    <x v="0"/>
    <n v="11"/>
  </r>
  <r>
    <s v="female"/>
    <s v="group D"/>
    <x v="4"/>
    <x v="1"/>
    <x v="0"/>
    <n v="39"/>
    <n v="52"/>
    <n v="46"/>
    <n v="45.666666666666664"/>
    <n v="0"/>
    <s v="At Risk"/>
    <x v="2"/>
    <n v="13"/>
  </r>
  <r>
    <s v="male"/>
    <s v="group C"/>
    <x v="5"/>
    <x v="0"/>
    <x v="0"/>
    <n v="64"/>
    <n v="58"/>
    <n v="51"/>
    <n v="57.666666666666664"/>
    <n v="0"/>
    <s v="At Risk"/>
    <x v="2"/>
    <n v="13"/>
  </r>
  <r>
    <s v="female"/>
    <s v="group B"/>
    <x v="4"/>
    <x v="1"/>
    <x v="1"/>
    <n v="23"/>
    <n v="44"/>
    <n v="36"/>
    <n v="34.333333333333336"/>
    <n v="0"/>
    <s v="At Risk"/>
    <x v="2"/>
    <n v="21"/>
  </r>
  <r>
    <s v="male"/>
    <s v="group B"/>
    <x v="1"/>
    <x v="1"/>
    <x v="1"/>
    <n v="74"/>
    <n v="77"/>
    <n v="76"/>
    <n v="75.666666666666671"/>
    <n v="1"/>
    <s v="Pass"/>
    <x v="0"/>
    <n v="3"/>
  </r>
  <r>
    <s v="female"/>
    <s v="group D"/>
    <x v="5"/>
    <x v="1"/>
    <x v="1"/>
    <n v="40"/>
    <n v="65"/>
    <n v="64"/>
    <n v="56.333333333333336"/>
    <n v="0"/>
    <s v="At Risk"/>
    <x v="2"/>
    <n v="25"/>
  </r>
  <r>
    <s v="male"/>
    <s v="group E"/>
    <x v="2"/>
    <x v="0"/>
    <x v="0"/>
    <n v="90"/>
    <n v="85"/>
    <n v="84"/>
    <n v="86.333333333333329"/>
    <n v="1"/>
    <s v="Pass"/>
    <x v="1"/>
    <n v="6"/>
  </r>
  <r>
    <s v="male"/>
    <s v="group C"/>
    <x v="2"/>
    <x v="0"/>
    <x v="1"/>
    <n v="91"/>
    <n v="85"/>
    <n v="85"/>
    <n v="87"/>
    <n v="1"/>
    <s v="Pass"/>
    <x v="1"/>
    <n v="6"/>
  </r>
  <r>
    <s v="male"/>
    <s v="group D"/>
    <x v="4"/>
    <x v="0"/>
    <x v="0"/>
    <n v="64"/>
    <n v="54"/>
    <n v="50"/>
    <n v="56"/>
    <n v="0"/>
    <s v="At Risk"/>
    <x v="2"/>
    <n v="14"/>
  </r>
  <r>
    <s v="female"/>
    <s v="group C"/>
    <x v="4"/>
    <x v="0"/>
    <x v="0"/>
    <n v="59"/>
    <n v="72"/>
    <n v="68"/>
    <n v="66.333333333333329"/>
    <n v="1"/>
    <s v="Pass"/>
    <x v="0"/>
    <n v="13"/>
  </r>
  <r>
    <s v="male"/>
    <s v="group D"/>
    <x v="3"/>
    <x v="0"/>
    <x v="0"/>
    <n v="80"/>
    <n v="75"/>
    <n v="69"/>
    <n v="74.666666666666671"/>
    <n v="1"/>
    <s v="Pass"/>
    <x v="0"/>
    <n v="11"/>
  </r>
  <r>
    <s v="male"/>
    <s v="group C"/>
    <x v="2"/>
    <x v="0"/>
    <x v="0"/>
    <n v="71"/>
    <n v="67"/>
    <n v="67"/>
    <n v="68.333333333333329"/>
    <n v="1"/>
    <s v="Pass"/>
    <x v="0"/>
    <n v="4"/>
  </r>
  <r>
    <s v="female"/>
    <s v="group A"/>
    <x v="4"/>
    <x v="0"/>
    <x v="0"/>
    <n v="61"/>
    <n v="68"/>
    <n v="63"/>
    <n v="64"/>
    <n v="1"/>
    <s v="Pass"/>
    <x v="0"/>
    <n v="7"/>
  </r>
  <r>
    <s v="female"/>
    <s v="group E"/>
    <x v="1"/>
    <x v="0"/>
    <x v="0"/>
    <n v="87"/>
    <n v="85"/>
    <n v="93"/>
    <n v="88.333333333333329"/>
    <n v="1"/>
    <s v="Pass"/>
    <x v="1"/>
    <n v="8"/>
  </r>
  <r>
    <s v="male"/>
    <s v="group E"/>
    <x v="5"/>
    <x v="0"/>
    <x v="0"/>
    <n v="82"/>
    <n v="67"/>
    <n v="61"/>
    <n v="70"/>
    <n v="1"/>
    <s v="Pass"/>
    <x v="0"/>
    <n v="21"/>
  </r>
  <r>
    <s v="male"/>
    <s v="group C"/>
    <x v="5"/>
    <x v="0"/>
    <x v="0"/>
    <n v="62"/>
    <n v="64"/>
    <n v="55"/>
    <n v="60.333333333333336"/>
    <n v="1"/>
    <s v="Pass"/>
    <x v="0"/>
    <n v="9"/>
  </r>
  <r>
    <s v="female"/>
    <s v="group B"/>
    <x v="0"/>
    <x v="0"/>
    <x v="0"/>
    <n v="97"/>
    <n v="97"/>
    <n v="96"/>
    <n v="96.666666666666671"/>
    <n v="1"/>
    <s v="Pass"/>
    <x v="1"/>
    <n v="1"/>
  </r>
  <r>
    <s v="male"/>
    <s v="group B"/>
    <x v="1"/>
    <x v="1"/>
    <x v="0"/>
    <n v="75"/>
    <n v="68"/>
    <n v="65"/>
    <n v="69.333333333333329"/>
    <n v="1"/>
    <s v="Pass"/>
    <x v="0"/>
    <n v="10"/>
  </r>
  <r>
    <s v="female"/>
    <s v="group C"/>
    <x v="0"/>
    <x v="0"/>
    <x v="0"/>
    <n v="65"/>
    <n v="79"/>
    <n v="81"/>
    <n v="75"/>
    <n v="1"/>
    <s v="Pass"/>
    <x v="0"/>
    <n v="16"/>
  </r>
  <r>
    <s v="male"/>
    <s v="group B"/>
    <x v="4"/>
    <x v="0"/>
    <x v="1"/>
    <n v="52"/>
    <n v="49"/>
    <n v="46"/>
    <n v="49"/>
    <n v="0"/>
    <s v="At Risk"/>
    <x v="2"/>
    <n v="6"/>
  </r>
  <r>
    <s v="male"/>
    <s v="group C"/>
    <x v="3"/>
    <x v="1"/>
    <x v="0"/>
    <n v="87"/>
    <n v="73"/>
    <n v="72"/>
    <n v="77.333333333333329"/>
    <n v="1"/>
    <s v="Pass"/>
    <x v="0"/>
    <n v="15"/>
  </r>
  <r>
    <s v="female"/>
    <s v="group C"/>
    <x v="3"/>
    <x v="0"/>
    <x v="0"/>
    <n v="53"/>
    <n v="62"/>
    <n v="53"/>
    <n v="56"/>
    <n v="0"/>
    <s v="At Risk"/>
    <x v="2"/>
    <n v="9"/>
  </r>
  <r>
    <s v="female"/>
    <s v="group E"/>
    <x v="2"/>
    <x v="1"/>
    <x v="0"/>
    <n v="81"/>
    <n v="86"/>
    <n v="87"/>
    <n v="84.666666666666671"/>
    <n v="1"/>
    <s v="Pass"/>
    <x v="1"/>
    <n v="6"/>
  </r>
  <r>
    <s v="male"/>
    <s v="group D"/>
    <x v="0"/>
    <x v="1"/>
    <x v="1"/>
    <n v="39"/>
    <n v="42"/>
    <n v="38"/>
    <n v="39.666666666666664"/>
    <n v="0"/>
    <s v="At Risk"/>
    <x v="2"/>
    <n v="4"/>
  </r>
  <r>
    <s v="female"/>
    <s v="group C"/>
    <x v="1"/>
    <x v="0"/>
    <x v="1"/>
    <n v="71"/>
    <n v="71"/>
    <n v="80"/>
    <n v="74"/>
    <n v="1"/>
    <s v="Pass"/>
    <x v="0"/>
    <n v="9"/>
  </r>
  <r>
    <s v="male"/>
    <s v="group C"/>
    <x v="3"/>
    <x v="0"/>
    <x v="0"/>
    <n v="97"/>
    <n v="93"/>
    <n v="91"/>
    <n v="93.666666666666671"/>
    <n v="1"/>
    <s v="Pass"/>
    <x v="1"/>
    <n v="6"/>
  </r>
  <r>
    <s v="male"/>
    <s v="group D"/>
    <x v="1"/>
    <x v="0"/>
    <x v="1"/>
    <n v="82"/>
    <n v="82"/>
    <n v="88"/>
    <n v="84"/>
    <n v="1"/>
    <s v="Pass"/>
    <x v="1"/>
    <n v="6"/>
  </r>
  <r>
    <s v="male"/>
    <s v="group C"/>
    <x v="4"/>
    <x v="1"/>
    <x v="0"/>
    <n v="59"/>
    <n v="53"/>
    <n v="52"/>
    <n v="54.666666666666664"/>
    <n v="0"/>
    <s v="At Risk"/>
    <x v="2"/>
    <n v="7"/>
  </r>
  <r>
    <s v="male"/>
    <s v="group B"/>
    <x v="3"/>
    <x v="0"/>
    <x v="0"/>
    <n v="61"/>
    <n v="42"/>
    <n v="41"/>
    <n v="48"/>
    <n v="0"/>
    <s v="At Risk"/>
    <x v="2"/>
    <n v="20"/>
  </r>
  <r>
    <s v="male"/>
    <s v="group E"/>
    <x v="3"/>
    <x v="1"/>
    <x v="1"/>
    <n v="78"/>
    <n v="74"/>
    <n v="72"/>
    <n v="74.666666666666671"/>
    <n v="1"/>
    <s v="Pass"/>
    <x v="0"/>
    <n v="6"/>
  </r>
  <r>
    <s v="male"/>
    <s v="group C"/>
    <x v="3"/>
    <x v="1"/>
    <x v="0"/>
    <n v="49"/>
    <n v="51"/>
    <n v="51"/>
    <n v="50.333333333333336"/>
    <n v="0"/>
    <s v="At Risk"/>
    <x v="2"/>
    <n v="2"/>
  </r>
  <r>
    <s v="male"/>
    <s v="group B"/>
    <x v="4"/>
    <x v="0"/>
    <x v="0"/>
    <n v="59"/>
    <n v="58"/>
    <n v="47"/>
    <n v="54.666666666666664"/>
    <n v="0"/>
    <s v="At Risk"/>
    <x v="2"/>
    <n v="12"/>
  </r>
  <r>
    <s v="female"/>
    <s v="group C"/>
    <x v="1"/>
    <x v="0"/>
    <x v="1"/>
    <n v="70"/>
    <n v="72"/>
    <n v="76"/>
    <n v="72.666666666666671"/>
    <n v="1"/>
    <s v="Pass"/>
    <x v="0"/>
    <n v="6"/>
  </r>
  <r>
    <s v="male"/>
    <s v="group B"/>
    <x v="3"/>
    <x v="0"/>
    <x v="1"/>
    <n v="82"/>
    <n v="84"/>
    <n v="78"/>
    <n v="81.333333333333329"/>
    <n v="1"/>
    <s v="Pass"/>
    <x v="1"/>
    <n v="6"/>
  </r>
  <r>
    <s v="male"/>
    <s v="group E"/>
    <x v="3"/>
    <x v="1"/>
    <x v="0"/>
    <n v="90"/>
    <n v="90"/>
    <n v="82"/>
    <n v="87.333333333333329"/>
    <n v="1"/>
    <s v="Pass"/>
    <x v="1"/>
    <n v="8"/>
  </r>
  <r>
    <s v="female"/>
    <s v="group C"/>
    <x v="0"/>
    <x v="1"/>
    <x v="0"/>
    <n v="43"/>
    <n v="62"/>
    <n v="61"/>
    <n v="55.333333333333336"/>
    <n v="0"/>
    <s v="At Risk"/>
    <x v="2"/>
    <n v="19"/>
  </r>
  <r>
    <s v="male"/>
    <s v="group C"/>
    <x v="1"/>
    <x v="1"/>
    <x v="0"/>
    <n v="80"/>
    <n v="64"/>
    <n v="66"/>
    <n v="70"/>
    <n v="1"/>
    <s v="Pass"/>
    <x v="0"/>
    <n v="16"/>
  </r>
  <r>
    <s v="male"/>
    <s v="group D"/>
    <x v="1"/>
    <x v="0"/>
    <x v="0"/>
    <n v="81"/>
    <n v="82"/>
    <n v="84"/>
    <n v="82.333333333333329"/>
    <n v="1"/>
    <s v="Pass"/>
    <x v="1"/>
    <n v="3"/>
  </r>
  <r>
    <s v="male"/>
    <s v="group C"/>
    <x v="5"/>
    <x v="0"/>
    <x v="0"/>
    <n v="57"/>
    <n v="61"/>
    <n v="54"/>
    <n v="57.333333333333336"/>
    <n v="0"/>
    <s v="At Risk"/>
    <x v="2"/>
    <n v="7"/>
  </r>
  <r>
    <s v="female"/>
    <s v="group D"/>
    <x v="5"/>
    <x v="0"/>
    <x v="0"/>
    <n v="59"/>
    <n v="72"/>
    <n v="80"/>
    <n v="70.333333333333329"/>
    <n v="1"/>
    <s v="Pass"/>
    <x v="0"/>
    <n v="21"/>
  </r>
  <r>
    <s v="female"/>
    <s v="group D"/>
    <x v="3"/>
    <x v="0"/>
    <x v="0"/>
    <n v="64"/>
    <n v="76"/>
    <n v="74"/>
    <n v="71.333333333333329"/>
    <n v="1"/>
    <s v="Pass"/>
    <x v="0"/>
    <n v="12"/>
  </r>
  <r>
    <s v="male"/>
    <s v="group C"/>
    <x v="0"/>
    <x v="0"/>
    <x v="1"/>
    <n v="63"/>
    <n v="64"/>
    <n v="66"/>
    <n v="64.333333333333329"/>
    <n v="1"/>
    <s v="Pass"/>
    <x v="0"/>
    <n v="3"/>
  </r>
  <r>
    <s v="female"/>
    <s v="group E"/>
    <x v="0"/>
    <x v="0"/>
    <x v="1"/>
    <n v="71"/>
    <n v="70"/>
    <n v="70"/>
    <n v="70.333333333333329"/>
    <n v="1"/>
    <s v="Pass"/>
    <x v="0"/>
    <n v="1"/>
  </r>
  <r>
    <s v="female"/>
    <s v="group B"/>
    <x v="4"/>
    <x v="1"/>
    <x v="0"/>
    <n v="64"/>
    <n v="73"/>
    <n v="71"/>
    <n v="69.333333333333329"/>
    <n v="1"/>
    <s v="Pass"/>
    <x v="0"/>
    <n v="9"/>
  </r>
  <r>
    <s v="male"/>
    <s v="group D"/>
    <x v="0"/>
    <x v="1"/>
    <x v="0"/>
    <n v="55"/>
    <n v="46"/>
    <n v="44"/>
    <n v="48.333333333333336"/>
    <n v="0"/>
    <s v="At Risk"/>
    <x v="2"/>
    <n v="11"/>
  </r>
  <r>
    <s v="female"/>
    <s v="group E"/>
    <x v="3"/>
    <x v="0"/>
    <x v="0"/>
    <n v="51"/>
    <n v="51"/>
    <n v="54"/>
    <n v="52"/>
    <n v="0"/>
    <s v="At Risk"/>
    <x v="2"/>
    <n v="3"/>
  </r>
  <r>
    <s v="female"/>
    <s v="group C"/>
    <x v="3"/>
    <x v="0"/>
    <x v="1"/>
    <n v="62"/>
    <n v="76"/>
    <n v="80"/>
    <n v="72.666666666666671"/>
    <n v="1"/>
    <s v="Pass"/>
    <x v="0"/>
    <n v="18"/>
  </r>
  <r>
    <s v="female"/>
    <s v="group E"/>
    <x v="3"/>
    <x v="0"/>
    <x v="1"/>
    <n v="93"/>
    <n v="100"/>
    <n v="95"/>
    <n v="96"/>
    <n v="1"/>
    <s v="Pass"/>
    <x v="1"/>
    <n v="7"/>
  </r>
  <r>
    <s v="male"/>
    <s v="group C"/>
    <x v="4"/>
    <x v="1"/>
    <x v="0"/>
    <n v="54"/>
    <n v="72"/>
    <n v="59"/>
    <n v="61.666666666666664"/>
    <n v="1"/>
    <s v="Pass"/>
    <x v="0"/>
    <n v="18"/>
  </r>
  <r>
    <s v="female"/>
    <s v="group D"/>
    <x v="1"/>
    <x v="1"/>
    <x v="0"/>
    <n v="69"/>
    <n v="65"/>
    <n v="74"/>
    <n v="69.333333333333329"/>
    <n v="1"/>
    <s v="Pass"/>
    <x v="0"/>
    <n v="9"/>
  </r>
  <r>
    <s v="male"/>
    <s v="group D"/>
    <x v="4"/>
    <x v="1"/>
    <x v="0"/>
    <n v="44"/>
    <n v="51"/>
    <n v="48"/>
    <n v="47.666666666666664"/>
    <n v="0"/>
    <s v="At Risk"/>
    <x v="2"/>
    <n v="7"/>
  </r>
  <r>
    <s v="female"/>
    <s v="group E"/>
    <x v="1"/>
    <x v="0"/>
    <x v="1"/>
    <n v="86"/>
    <n v="85"/>
    <n v="91"/>
    <n v="87.333333333333329"/>
    <n v="1"/>
    <s v="Pass"/>
    <x v="1"/>
    <n v="6"/>
  </r>
  <r>
    <s v="female"/>
    <s v="group E"/>
    <x v="3"/>
    <x v="0"/>
    <x v="0"/>
    <n v="85"/>
    <n v="92"/>
    <n v="85"/>
    <n v="87.333333333333329"/>
    <n v="1"/>
    <s v="Pass"/>
    <x v="1"/>
    <n v="7"/>
  </r>
  <r>
    <s v="female"/>
    <s v="group A"/>
    <x v="2"/>
    <x v="1"/>
    <x v="0"/>
    <n v="50"/>
    <n v="67"/>
    <n v="73"/>
    <n v="63.333333333333336"/>
    <n v="1"/>
    <s v="Pass"/>
    <x v="0"/>
    <n v="23"/>
  </r>
  <r>
    <s v="male"/>
    <s v="group D"/>
    <x v="5"/>
    <x v="0"/>
    <x v="1"/>
    <n v="88"/>
    <n v="74"/>
    <n v="75"/>
    <n v="79"/>
    <n v="1"/>
    <s v="Pass"/>
    <x v="0"/>
    <n v="14"/>
  </r>
  <r>
    <s v="female"/>
    <s v="group E"/>
    <x v="3"/>
    <x v="0"/>
    <x v="0"/>
    <n v="59"/>
    <n v="62"/>
    <n v="69"/>
    <n v="63.333333333333336"/>
    <n v="1"/>
    <s v="Pass"/>
    <x v="0"/>
    <n v="10"/>
  </r>
  <r>
    <s v="female"/>
    <s v="group E"/>
    <x v="5"/>
    <x v="1"/>
    <x v="0"/>
    <n v="32"/>
    <n v="34"/>
    <n v="38"/>
    <n v="34.666666666666664"/>
    <n v="0"/>
    <s v="At Risk"/>
    <x v="2"/>
    <n v="6"/>
  </r>
  <r>
    <s v="male"/>
    <s v="group B"/>
    <x v="4"/>
    <x v="1"/>
    <x v="0"/>
    <n v="36"/>
    <n v="29"/>
    <n v="27"/>
    <n v="30.666666666666668"/>
    <n v="0"/>
    <s v="At Risk"/>
    <x v="2"/>
    <n v="9"/>
  </r>
  <r>
    <s v="female"/>
    <s v="group B"/>
    <x v="5"/>
    <x v="1"/>
    <x v="1"/>
    <n v="63"/>
    <n v="78"/>
    <n v="79"/>
    <n v="73.333333333333329"/>
    <n v="1"/>
    <s v="Pass"/>
    <x v="0"/>
    <n v="16"/>
  </r>
  <r>
    <s v="male"/>
    <s v="group D"/>
    <x v="3"/>
    <x v="0"/>
    <x v="1"/>
    <n v="67"/>
    <n v="54"/>
    <n v="63"/>
    <n v="61.333333333333336"/>
    <n v="1"/>
    <s v="Pass"/>
    <x v="0"/>
    <n v="13"/>
  </r>
  <r>
    <s v="female"/>
    <s v="group D"/>
    <x v="5"/>
    <x v="0"/>
    <x v="1"/>
    <n v="65"/>
    <n v="78"/>
    <n v="82"/>
    <n v="75"/>
    <n v="1"/>
    <s v="Pass"/>
    <x v="0"/>
    <n v="17"/>
  </r>
  <r>
    <s v="male"/>
    <s v="group D"/>
    <x v="2"/>
    <x v="0"/>
    <x v="0"/>
    <n v="85"/>
    <n v="84"/>
    <n v="89"/>
    <n v="86"/>
    <n v="1"/>
    <s v="Pass"/>
    <x v="1"/>
    <n v="5"/>
  </r>
  <r>
    <s v="female"/>
    <s v="group C"/>
    <x v="2"/>
    <x v="0"/>
    <x v="0"/>
    <n v="73"/>
    <n v="78"/>
    <n v="74"/>
    <n v="75"/>
    <n v="1"/>
    <s v="Pass"/>
    <x v="0"/>
    <n v="5"/>
  </r>
  <r>
    <s v="female"/>
    <s v="group A"/>
    <x v="4"/>
    <x v="1"/>
    <x v="1"/>
    <n v="34"/>
    <n v="48"/>
    <n v="41"/>
    <n v="41"/>
    <n v="0"/>
    <s v="At Risk"/>
    <x v="2"/>
    <n v="14"/>
  </r>
  <r>
    <s v="female"/>
    <s v="group D"/>
    <x v="0"/>
    <x v="1"/>
    <x v="1"/>
    <n v="93"/>
    <n v="100"/>
    <n v="100"/>
    <n v="97.666666666666671"/>
    <n v="1"/>
    <s v="Pass"/>
    <x v="1"/>
    <n v="7"/>
  </r>
  <r>
    <s v="female"/>
    <s v="group D"/>
    <x v="5"/>
    <x v="1"/>
    <x v="0"/>
    <n v="67"/>
    <n v="84"/>
    <n v="84"/>
    <n v="78.333333333333329"/>
    <n v="1"/>
    <s v="Pass"/>
    <x v="0"/>
    <n v="17"/>
  </r>
  <r>
    <s v="male"/>
    <s v="group D"/>
    <x v="1"/>
    <x v="0"/>
    <x v="0"/>
    <n v="88"/>
    <n v="77"/>
    <n v="77"/>
    <n v="80.666666666666671"/>
    <n v="1"/>
    <s v="Pass"/>
    <x v="1"/>
    <n v="11"/>
  </r>
  <r>
    <s v="male"/>
    <s v="group B"/>
    <x v="4"/>
    <x v="0"/>
    <x v="0"/>
    <n v="57"/>
    <n v="48"/>
    <n v="51"/>
    <n v="52"/>
    <n v="0"/>
    <s v="At Risk"/>
    <x v="2"/>
    <n v="9"/>
  </r>
  <r>
    <s v="female"/>
    <s v="group D"/>
    <x v="1"/>
    <x v="0"/>
    <x v="1"/>
    <n v="79"/>
    <n v="84"/>
    <n v="91"/>
    <n v="84.666666666666671"/>
    <n v="1"/>
    <s v="Pass"/>
    <x v="1"/>
    <n v="12"/>
  </r>
  <r>
    <s v="female"/>
    <s v="group C"/>
    <x v="0"/>
    <x v="1"/>
    <x v="0"/>
    <n v="67"/>
    <n v="75"/>
    <n v="72"/>
    <n v="71.333333333333329"/>
    <n v="1"/>
    <s v="Pass"/>
    <x v="0"/>
    <n v="8"/>
  </r>
  <r>
    <s v="male"/>
    <s v="group E"/>
    <x v="0"/>
    <x v="0"/>
    <x v="1"/>
    <n v="70"/>
    <n v="64"/>
    <n v="70"/>
    <n v="68"/>
    <n v="1"/>
    <s v="Pass"/>
    <x v="0"/>
    <n v="6"/>
  </r>
  <r>
    <s v="male"/>
    <s v="group D"/>
    <x v="0"/>
    <x v="1"/>
    <x v="0"/>
    <n v="50"/>
    <n v="42"/>
    <n v="48"/>
    <n v="46.666666666666664"/>
    <n v="0"/>
    <s v="At Risk"/>
    <x v="2"/>
    <n v="8"/>
  </r>
  <r>
    <s v="female"/>
    <s v="group A"/>
    <x v="1"/>
    <x v="0"/>
    <x v="0"/>
    <n v="69"/>
    <n v="84"/>
    <n v="82"/>
    <n v="78.333333333333329"/>
    <n v="1"/>
    <s v="Pass"/>
    <x v="0"/>
    <n v="15"/>
  </r>
  <r>
    <s v="female"/>
    <s v="group C"/>
    <x v="0"/>
    <x v="0"/>
    <x v="1"/>
    <n v="52"/>
    <n v="61"/>
    <n v="66"/>
    <n v="59.666666666666664"/>
    <n v="0"/>
    <s v="At Risk"/>
    <x v="2"/>
    <n v="14"/>
  </r>
  <r>
    <s v="female"/>
    <s v="group C"/>
    <x v="0"/>
    <x v="1"/>
    <x v="1"/>
    <n v="47"/>
    <n v="62"/>
    <n v="66"/>
    <n v="58.333333333333336"/>
    <n v="0"/>
    <s v="At Risk"/>
    <x v="2"/>
    <n v="19"/>
  </r>
  <r>
    <s v="female"/>
    <s v="group B"/>
    <x v="3"/>
    <x v="1"/>
    <x v="0"/>
    <n v="46"/>
    <n v="61"/>
    <n v="55"/>
    <n v="54"/>
    <n v="0"/>
    <s v="At Risk"/>
    <x v="2"/>
    <n v="15"/>
  </r>
  <r>
    <s v="female"/>
    <s v="group E"/>
    <x v="1"/>
    <x v="0"/>
    <x v="0"/>
    <n v="68"/>
    <n v="70"/>
    <n v="66"/>
    <n v="68"/>
    <n v="1"/>
    <s v="Pass"/>
    <x v="0"/>
    <n v="4"/>
  </r>
  <r>
    <s v="male"/>
    <s v="group E"/>
    <x v="0"/>
    <x v="0"/>
    <x v="1"/>
    <n v="100"/>
    <n v="100"/>
    <n v="100"/>
    <n v="100"/>
    <n v="1"/>
    <s v="Pass"/>
    <x v="1"/>
    <n v="0"/>
  </r>
  <r>
    <s v="female"/>
    <s v="group C"/>
    <x v="4"/>
    <x v="0"/>
    <x v="0"/>
    <n v="44"/>
    <n v="61"/>
    <n v="52"/>
    <n v="52.333333333333336"/>
    <n v="0"/>
    <s v="At Risk"/>
    <x v="2"/>
    <n v="17"/>
  </r>
  <r>
    <s v="female"/>
    <s v="group C"/>
    <x v="3"/>
    <x v="0"/>
    <x v="1"/>
    <n v="57"/>
    <n v="77"/>
    <n v="80"/>
    <n v="71.333333333333329"/>
    <n v="1"/>
    <s v="Pass"/>
    <x v="0"/>
    <n v="23"/>
  </r>
  <r>
    <s v="male"/>
    <s v="group B"/>
    <x v="1"/>
    <x v="0"/>
    <x v="1"/>
    <n v="91"/>
    <n v="96"/>
    <n v="91"/>
    <n v="92.666666666666671"/>
    <n v="1"/>
    <s v="Pass"/>
    <x v="1"/>
    <n v="5"/>
  </r>
  <r>
    <s v="male"/>
    <s v="group D"/>
    <x v="4"/>
    <x v="1"/>
    <x v="0"/>
    <n v="69"/>
    <n v="70"/>
    <n v="67"/>
    <n v="68.666666666666671"/>
    <n v="1"/>
    <s v="Pass"/>
    <x v="0"/>
    <n v="3"/>
  </r>
  <r>
    <s v="female"/>
    <s v="group C"/>
    <x v="4"/>
    <x v="1"/>
    <x v="0"/>
    <n v="35"/>
    <n v="53"/>
    <n v="46"/>
    <n v="44.666666666666664"/>
    <n v="0"/>
    <s v="At Risk"/>
    <x v="2"/>
    <n v="18"/>
  </r>
  <r>
    <s v="male"/>
    <s v="group D"/>
    <x v="4"/>
    <x v="0"/>
    <x v="0"/>
    <n v="72"/>
    <n v="66"/>
    <n v="66"/>
    <n v="68"/>
    <n v="1"/>
    <s v="Pass"/>
    <x v="0"/>
    <n v="6"/>
  </r>
  <r>
    <s v="female"/>
    <s v="group B"/>
    <x v="3"/>
    <x v="1"/>
    <x v="0"/>
    <n v="54"/>
    <n v="65"/>
    <n v="65"/>
    <n v="61.333333333333336"/>
    <n v="1"/>
    <s v="Pass"/>
    <x v="0"/>
    <n v="11"/>
  </r>
  <r>
    <s v="male"/>
    <s v="group D"/>
    <x v="4"/>
    <x v="1"/>
    <x v="0"/>
    <n v="74"/>
    <n v="70"/>
    <n v="69"/>
    <n v="71"/>
    <n v="1"/>
    <s v="Pass"/>
    <x v="0"/>
    <n v="5"/>
  </r>
  <r>
    <s v="male"/>
    <s v="group E"/>
    <x v="5"/>
    <x v="0"/>
    <x v="1"/>
    <n v="74"/>
    <n v="64"/>
    <n v="60"/>
    <n v="66"/>
    <n v="1"/>
    <s v="Pass"/>
    <x v="0"/>
    <n v="14"/>
  </r>
  <r>
    <s v="male"/>
    <s v="group E"/>
    <x v="3"/>
    <x v="1"/>
    <x v="0"/>
    <n v="64"/>
    <n v="56"/>
    <n v="52"/>
    <n v="57.333333333333336"/>
    <n v="0"/>
    <s v="At Risk"/>
    <x v="2"/>
    <n v="12"/>
  </r>
  <r>
    <s v="female"/>
    <s v="group D"/>
    <x v="4"/>
    <x v="1"/>
    <x v="1"/>
    <n v="65"/>
    <n v="61"/>
    <n v="71"/>
    <n v="65.666666666666671"/>
    <n v="1"/>
    <s v="Pass"/>
    <x v="0"/>
    <n v="10"/>
  </r>
  <r>
    <s v="male"/>
    <s v="group E"/>
    <x v="3"/>
    <x v="1"/>
    <x v="1"/>
    <n v="46"/>
    <n v="43"/>
    <n v="44"/>
    <n v="44.333333333333336"/>
    <n v="0"/>
    <s v="At Risk"/>
    <x v="2"/>
    <n v="3"/>
  </r>
  <r>
    <s v="female"/>
    <s v="group C"/>
    <x v="5"/>
    <x v="1"/>
    <x v="0"/>
    <n v="48"/>
    <n v="56"/>
    <n v="51"/>
    <n v="51.666666666666664"/>
    <n v="0"/>
    <s v="At Risk"/>
    <x v="2"/>
    <n v="8"/>
  </r>
  <r>
    <s v="male"/>
    <s v="group C"/>
    <x v="1"/>
    <x v="1"/>
    <x v="1"/>
    <n v="67"/>
    <n v="74"/>
    <n v="70"/>
    <n v="70.333333333333329"/>
    <n v="1"/>
    <s v="Pass"/>
    <x v="0"/>
    <n v="7"/>
  </r>
  <r>
    <s v="male"/>
    <s v="group D"/>
    <x v="1"/>
    <x v="1"/>
    <x v="0"/>
    <n v="62"/>
    <n v="57"/>
    <n v="62"/>
    <n v="60.333333333333336"/>
    <n v="1"/>
    <s v="Pass"/>
    <x v="0"/>
    <n v="5"/>
  </r>
  <r>
    <s v="male"/>
    <s v="group D"/>
    <x v="3"/>
    <x v="1"/>
    <x v="1"/>
    <n v="61"/>
    <n v="71"/>
    <n v="73"/>
    <n v="68.333333333333329"/>
    <n v="1"/>
    <s v="Pass"/>
    <x v="0"/>
    <n v="12"/>
  </r>
  <r>
    <s v="male"/>
    <s v="group C"/>
    <x v="0"/>
    <x v="1"/>
    <x v="1"/>
    <n v="70"/>
    <n v="75"/>
    <n v="74"/>
    <n v="73"/>
    <n v="1"/>
    <s v="Pass"/>
    <x v="0"/>
    <n v="5"/>
  </r>
  <r>
    <s v="male"/>
    <s v="group C"/>
    <x v="3"/>
    <x v="0"/>
    <x v="1"/>
    <n v="98"/>
    <n v="87"/>
    <n v="90"/>
    <n v="91.666666666666671"/>
    <n v="1"/>
    <s v="Pass"/>
    <x v="1"/>
    <n v="11"/>
  </r>
  <r>
    <s v="male"/>
    <s v="group D"/>
    <x v="1"/>
    <x v="1"/>
    <x v="0"/>
    <n v="70"/>
    <n v="63"/>
    <n v="58"/>
    <n v="63.666666666666664"/>
    <n v="1"/>
    <s v="Pass"/>
    <x v="0"/>
    <n v="12"/>
  </r>
  <r>
    <s v="male"/>
    <s v="group A"/>
    <x v="3"/>
    <x v="0"/>
    <x v="0"/>
    <n v="67"/>
    <n v="57"/>
    <n v="53"/>
    <n v="59"/>
    <n v="0"/>
    <s v="At Risk"/>
    <x v="2"/>
    <n v="14"/>
  </r>
  <r>
    <s v="female"/>
    <s v="group E"/>
    <x v="4"/>
    <x v="1"/>
    <x v="0"/>
    <n v="57"/>
    <n v="58"/>
    <n v="57"/>
    <n v="57.333333333333336"/>
    <n v="0"/>
    <s v="At Risk"/>
    <x v="2"/>
    <n v="1"/>
  </r>
  <r>
    <s v="male"/>
    <s v="group D"/>
    <x v="1"/>
    <x v="0"/>
    <x v="1"/>
    <n v="85"/>
    <n v="81"/>
    <n v="85"/>
    <n v="83.666666666666671"/>
    <n v="1"/>
    <s v="Pass"/>
    <x v="1"/>
    <n v="4"/>
  </r>
  <r>
    <s v="male"/>
    <s v="group D"/>
    <x v="5"/>
    <x v="0"/>
    <x v="1"/>
    <n v="77"/>
    <n v="68"/>
    <n v="69"/>
    <n v="71.333333333333329"/>
    <n v="1"/>
    <s v="Pass"/>
    <x v="0"/>
    <n v="9"/>
  </r>
  <r>
    <s v="male"/>
    <s v="group C"/>
    <x v="2"/>
    <x v="1"/>
    <x v="1"/>
    <n v="72"/>
    <n v="66"/>
    <n v="72"/>
    <n v="70"/>
    <n v="1"/>
    <s v="Pass"/>
    <x v="0"/>
    <n v="6"/>
  </r>
  <r>
    <s v="female"/>
    <s v="group D"/>
    <x v="2"/>
    <x v="0"/>
    <x v="0"/>
    <n v="78"/>
    <n v="91"/>
    <n v="96"/>
    <n v="88.333333333333329"/>
    <n v="1"/>
    <s v="Pass"/>
    <x v="1"/>
    <n v="18"/>
  </r>
  <r>
    <s v="male"/>
    <s v="group C"/>
    <x v="4"/>
    <x v="0"/>
    <x v="0"/>
    <n v="81"/>
    <n v="66"/>
    <n v="64"/>
    <n v="70.333333333333329"/>
    <n v="1"/>
    <s v="Pass"/>
    <x v="0"/>
    <n v="17"/>
  </r>
  <r>
    <s v="male"/>
    <s v="group A"/>
    <x v="5"/>
    <x v="1"/>
    <x v="1"/>
    <n v="61"/>
    <n v="62"/>
    <n v="61"/>
    <n v="61.333333333333336"/>
    <n v="1"/>
    <s v="Pass"/>
    <x v="0"/>
    <n v="1"/>
  </r>
  <r>
    <s v="female"/>
    <s v="group B"/>
    <x v="4"/>
    <x v="0"/>
    <x v="0"/>
    <n v="58"/>
    <n v="68"/>
    <n v="61"/>
    <n v="62.333333333333336"/>
    <n v="1"/>
    <s v="Pass"/>
    <x v="0"/>
    <n v="10"/>
  </r>
  <r>
    <s v="female"/>
    <s v="group C"/>
    <x v="3"/>
    <x v="0"/>
    <x v="0"/>
    <n v="54"/>
    <n v="61"/>
    <n v="58"/>
    <n v="57.666666666666664"/>
    <n v="0"/>
    <s v="At Risk"/>
    <x v="2"/>
    <n v="7"/>
  </r>
  <r>
    <s v="male"/>
    <s v="group B"/>
    <x v="4"/>
    <x v="0"/>
    <x v="0"/>
    <n v="82"/>
    <n v="82"/>
    <n v="80"/>
    <n v="81.333333333333329"/>
    <n v="1"/>
    <s v="Pass"/>
    <x v="1"/>
    <n v="2"/>
  </r>
  <r>
    <s v="female"/>
    <s v="group D"/>
    <x v="1"/>
    <x v="1"/>
    <x v="0"/>
    <n v="49"/>
    <n v="58"/>
    <n v="60"/>
    <n v="55.666666666666664"/>
    <n v="0"/>
    <s v="At Risk"/>
    <x v="2"/>
    <n v="11"/>
  </r>
  <r>
    <s v="male"/>
    <s v="group B"/>
    <x v="5"/>
    <x v="1"/>
    <x v="1"/>
    <n v="49"/>
    <n v="50"/>
    <n v="52"/>
    <n v="50.333333333333336"/>
    <n v="0"/>
    <s v="At Risk"/>
    <x v="2"/>
    <n v="3"/>
  </r>
  <r>
    <s v="female"/>
    <s v="group E"/>
    <x v="4"/>
    <x v="1"/>
    <x v="1"/>
    <n v="57"/>
    <n v="75"/>
    <n v="73"/>
    <n v="68.333333333333329"/>
    <n v="1"/>
    <s v="Pass"/>
    <x v="0"/>
    <n v="18"/>
  </r>
  <r>
    <s v="male"/>
    <s v="group E"/>
    <x v="4"/>
    <x v="0"/>
    <x v="0"/>
    <n v="94"/>
    <n v="73"/>
    <n v="71"/>
    <n v="79.333333333333329"/>
    <n v="1"/>
    <s v="Pass"/>
    <x v="0"/>
    <n v="23"/>
  </r>
  <r>
    <s v="female"/>
    <s v="group D"/>
    <x v="1"/>
    <x v="0"/>
    <x v="1"/>
    <n v="75"/>
    <n v="77"/>
    <n v="83"/>
    <n v="78.333333333333329"/>
    <n v="1"/>
    <s v="Pass"/>
    <x v="0"/>
    <n v="8"/>
  </r>
  <r>
    <s v="female"/>
    <s v="group E"/>
    <x v="5"/>
    <x v="1"/>
    <x v="0"/>
    <n v="74"/>
    <n v="74"/>
    <n v="72"/>
    <n v="73.333333333333329"/>
    <n v="1"/>
    <s v="Pass"/>
    <x v="0"/>
    <n v="2"/>
  </r>
  <r>
    <s v="male"/>
    <s v="group C"/>
    <x v="4"/>
    <x v="0"/>
    <x v="1"/>
    <n v="58"/>
    <n v="52"/>
    <n v="54"/>
    <n v="54.666666666666664"/>
    <n v="0"/>
    <s v="At Risk"/>
    <x v="2"/>
    <n v="6"/>
  </r>
  <r>
    <s v="female"/>
    <s v="group C"/>
    <x v="1"/>
    <x v="0"/>
    <x v="0"/>
    <n v="62"/>
    <n v="69"/>
    <n v="69"/>
    <n v="66.666666666666671"/>
    <n v="1"/>
    <s v="Pass"/>
    <x v="0"/>
    <n v="7"/>
  </r>
  <r>
    <s v="male"/>
    <s v="group E"/>
    <x v="3"/>
    <x v="0"/>
    <x v="0"/>
    <n v="72"/>
    <n v="57"/>
    <n v="62"/>
    <n v="63.666666666666664"/>
    <n v="1"/>
    <s v="Pass"/>
    <x v="0"/>
    <n v="15"/>
  </r>
  <r>
    <s v="male"/>
    <s v="group C"/>
    <x v="1"/>
    <x v="0"/>
    <x v="0"/>
    <n v="84"/>
    <n v="87"/>
    <n v="81"/>
    <n v="84"/>
    <n v="1"/>
    <s v="Pass"/>
    <x v="1"/>
    <n v="6"/>
  </r>
  <r>
    <s v="female"/>
    <s v="group D"/>
    <x v="2"/>
    <x v="0"/>
    <x v="0"/>
    <n v="92"/>
    <n v="100"/>
    <n v="100"/>
    <n v="97.333333333333329"/>
    <n v="1"/>
    <s v="Pass"/>
    <x v="1"/>
    <n v="8"/>
  </r>
  <r>
    <s v="female"/>
    <s v="group D"/>
    <x v="4"/>
    <x v="0"/>
    <x v="0"/>
    <n v="45"/>
    <n v="63"/>
    <n v="59"/>
    <n v="55.666666666666664"/>
    <n v="0"/>
    <s v="At Risk"/>
    <x v="2"/>
    <n v="18"/>
  </r>
  <r>
    <s v="male"/>
    <s v="group C"/>
    <x v="4"/>
    <x v="0"/>
    <x v="0"/>
    <n v="75"/>
    <n v="81"/>
    <n v="71"/>
    <n v="75.666666666666671"/>
    <n v="1"/>
    <s v="Pass"/>
    <x v="0"/>
    <n v="10"/>
  </r>
  <r>
    <s v="female"/>
    <s v="group A"/>
    <x v="1"/>
    <x v="0"/>
    <x v="0"/>
    <n v="56"/>
    <n v="58"/>
    <n v="64"/>
    <n v="59.333333333333336"/>
    <n v="0"/>
    <s v="At Risk"/>
    <x v="2"/>
    <n v="8"/>
  </r>
  <r>
    <s v="female"/>
    <s v="group D"/>
    <x v="5"/>
    <x v="1"/>
    <x v="0"/>
    <n v="48"/>
    <n v="54"/>
    <n v="53"/>
    <n v="51.666666666666664"/>
    <n v="0"/>
    <s v="At Risk"/>
    <x v="2"/>
    <n v="6"/>
  </r>
  <r>
    <s v="female"/>
    <s v="group E"/>
    <x v="3"/>
    <x v="0"/>
    <x v="0"/>
    <n v="100"/>
    <n v="100"/>
    <n v="100"/>
    <n v="100"/>
    <n v="1"/>
    <s v="Pass"/>
    <x v="1"/>
    <n v="0"/>
  </r>
  <r>
    <s v="female"/>
    <s v="group C"/>
    <x v="5"/>
    <x v="1"/>
    <x v="1"/>
    <n v="65"/>
    <n v="76"/>
    <n v="75"/>
    <n v="72"/>
    <n v="1"/>
    <s v="Pass"/>
    <x v="0"/>
    <n v="11"/>
  </r>
  <r>
    <s v="male"/>
    <s v="group D"/>
    <x v="1"/>
    <x v="0"/>
    <x v="0"/>
    <n v="72"/>
    <n v="57"/>
    <n v="58"/>
    <n v="62.333333333333336"/>
    <n v="1"/>
    <s v="Pass"/>
    <x v="0"/>
    <n v="15"/>
  </r>
  <r>
    <s v="female"/>
    <s v="group D"/>
    <x v="1"/>
    <x v="0"/>
    <x v="0"/>
    <n v="62"/>
    <n v="70"/>
    <n v="72"/>
    <n v="68"/>
    <n v="1"/>
    <s v="Pass"/>
    <x v="0"/>
    <n v="10"/>
  </r>
  <r>
    <s v="male"/>
    <s v="group A"/>
    <x v="5"/>
    <x v="0"/>
    <x v="1"/>
    <n v="66"/>
    <n v="68"/>
    <n v="64"/>
    <n v="66"/>
    <n v="1"/>
    <s v="Pass"/>
    <x v="0"/>
    <n v="4"/>
  </r>
  <r>
    <s v="male"/>
    <s v="group C"/>
    <x v="1"/>
    <x v="0"/>
    <x v="0"/>
    <n v="63"/>
    <n v="63"/>
    <n v="60"/>
    <n v="62"/>
    <n v="1"/>
    <s v="Pass"/>
    <x v="0"/>
    <n v="3"/>
  </r>
  <r>
    <s v="female"/>
    <s v="group E"/>
    <x v="3"/>
    <x v="0"/>
    <x v="0"/>
    <n v="68"/>
    <n v="76"/>
    <n v="67"/>
    <n v="70.333333333333329"/>
    <n v="1"/>
    <s v="Pass"/>
    <x v="0"/>
    <n v="9"/>
  </r>
  <r>
    <s v="female"/>
    <s v="group B"/>
    <x v="0"/>
    <x v="0"/>
    <x v="0"/>
    <n v="75"/>
    <n v="84"/>
    <n v="80"/>
    <n v="79.666666666666671"/>
    <n v="1"/>
    <s v="Pass"/>
    <x v="0"/>
    <n v="9"/>
  </r>
  <r>
    <s v="female"/>
    <s v="group D"/>
    <x v="0"/>
    <x v="0"/>
    <x v="0"/>
    <n v="89"/>
    <n v="100"/>
    <n v="100"/>
    <n v="96.333333333333329"/>
    <n v="1"/>
    <s v="Pass"/>
    <x v="1"/>
    <n v="11"/>
  </r>
  <r>
    <s v="male"/>
    <s v="group C"/>
    <x v="5"/>
    <x v="0"/>
    <x v="1"/>
    <n v="78"/>
    <n v="72"/>
    <n v="69"/>
    <n v="73"/>
    <n v="1"/>
    <s v="Pass"/>
    <x v="0"/>
    <n v="9"/>
  </r>
  <r>
    <s v="female"/>
    <s v="group A"/>
    <x v="4"/>
    <x v="1"/>
    <x v="1"/>
    <n v="53"/>
    <n v="50"/>
    <n v="60"/>
    <n v="54.333333333333336"/>
    <n v="0"/>
    <s v="At Risk"/>
    <x v="2"/>
    <n v="10"/>
  </r>
  <r>
    <s v="female"/>
    <s v="group D"/>
    <x v="1"/>
    <x v="1"/>
    <x v="0"/>
    <n v="49"/>
    <n v="65"/>
    <n v="61"/>
    <n v="58.333333333333336"/>
    <n v="0"/>
    <s v="At Risk"/>
    <x v="2"/>
    <n v="16"/>
  </r>
  <r>
    <s v="female"/>
    <s v="group A"/>
    <x v="1"/>
    <x v="0"/>
    <x v="0"/>
    <n v="54"/>
    <n v="63"/>
    <n v="67"/>
    <n v="61.333333333333336"/>
    <n v="1"/>
    <s v="Pass"/>
    <x v="0"/>
    <n v="13"/>
  </r>
  <r>
    <s v="female"/>
    <s v="group C"/>
    <x v="1"/>
    <x v="0"/>
    <x v="1"/>
    <n v="64"/>
    <n v="82"/>
    <n v="77"/>
    <n v="74.333333333333329"/>
    <n v="1"/>
    <s v="Pass"/>
    <x v="0"/>
    <n v="18"/>
  </r>
  <r>
    <s v="male"/>
    <s v="group B"/>
    <x v="1"/>
    <x v="1"/>
    <x v="1"/>
    <n v="60"/>
    <n v="62"/>
    <n v="60"/>
    <n v="60.666666666666664"/>
    <n v="1"/>
    <s v="Pass"/>
    <x v="0"/>
    <n v="2"/>
  </r>
  <r>
    <s v="male"/>
    <s v="group C"/>
    <x v="3"/>
    <x v="0"/>
    <x v="0"/>
    <n v="62"/>
    <n v="65"/>
    <n v="58"/>
    <n v="61.666666666666664"/>
    <n v="1"/>
    <s v="Pass"/>
    <x v="0"/>
    <n v="7"/>
  </r>
  <r>
    <s v="male"/>
    <s v="group D"/>
    <x v="4"/>
    <x v="0"/>
    <x v="1"/>
    <n v="55"/>
    <n v="41"/>
    <n v="48"/>
    <n v="48"/>
    <n v="0"/>
    <s v="At Risk"/>
    <x v="2"/>
    <n v="14"/>
  </r>
  <r>
    <s v="female"/>
    <s v="group C"/>
    <x v="3"/>
    <x v="0"/>
    <x v="0"/>
    <n v="91"/>
    <n v="95"/>
    <n v="94"/>
    <n v="93.333333333333329"/>
    <n v="1"/>
    <s v="Pass"/>
    <x v="1"/>
    <n v="4"/>
  </r>
  <r>
    <s v="female"/>
    <s v="group B"/>
    <x v="4"/>
    <x v="1"/>
    <x v="0"/>
    <n v="8"/>
    <n v="24"/>
    <n v="23"/>
    <n v="18.333333333333332"/>
    <n v="0"/>
    <s v="At Risk"/>
    <x v="2"/>
    <n v="16"/>
  </r>
  <r>
    <s v="male"/>
    <s v="group D"/>
    <x v="5"/>
    <x v="0"/>
    <x v="0"/>
    <n v="81"/>
    <n v="78"/>
    <n v="78"/>
    <n v="79"/>
    <n v="1"/>
    <s v="Pass"/>
    <x v="0"/>
    <n v="3"/>
  </r>
  <r>
    <s v="male"/>
    <s v="group B"/>
    <x v="5"/>
    <x v="0"/>
    <x v="1"/>
    <n v="79"/>
    <n v="85"/>
    <n v="86"/>
    <n v="83.333333333333329"/>
    <n v="1"/>
    <s v="Pass"/>
    <x v="1"/>
    <n v="7"/>
  </r>
  <r>
    <s v="female"/>
    <s v="group A"/>
    <x v="1"/>
    <x v="0"/>
    <x v="1"/>
    <n v="78"/>
    <n v="87"/>
    <n v="91"/>
    <n v="85.333333333333329"/>
    <n v="1"/>
    <s v="Pass"/>
    <x v="1"/>
    <n v="13"/>
  </r>
  <r>
    <s v="female"/>
    <s v="group C"/>
    <x v="5"/>
    <x v="0"/>
    <x v="0"/>
    <n v="74"/>
    <n v="75"/>
    <n v="82"/>
    <n v="77"/>
    <n v="1"/>
    <s v="Pass"/>
    <x v="0"/>
    <n v="8"/>
  </r>
  <r>
    <s v="male"/>
    <s v="group A"/>
    <x v="4"/>
    <x v="0"/>
    <x v="0"/>
    <n v="57"/>
    <n v="51"/>
    <n v="54"/>
    <n v="54"/>
    <n v="0"/>
    <s v="At Risk"/>
    <x v="2"/>
    <n v="6"/>
  </r>
  <r>
    <s v="female"/>
    <s v="group C"/>
    <x v="3"/>
    <x v="0"/>
    <x v="0"/>
    <n v="40"/>
    <n v="59"/>
    <n v="51"/>
    <n v="50"/>
    <n v="0"/>
    <s v="At Risk"/>
    <x v="2"/>
    <n v="19"/>
  </r>
  <r>
    <s v="male"/>
    <s v="group E"/>
    <x v="5"/>
    <x v="0"/>
    <x v="1"/>
    <n v="81"/>
    <n v="75"/>
    <n v="76"/>
    <n v="77.333333333333329"/>
    <n v="1"/>
    <s v="Pass"/>
    <x v="0"/>
    <n v="6"/>
  </r>
  <r>
    <s v="female"/>
    <s v="group A"/>
    <x v="5"/>
    <x v="1"/>
    <x v="0"/>
    <n v="44"/>
    <n v="45"/>
    <n v="45"/>
    <n v="44.666666666666664"/>
    <n v="0"/>
    <s v="At Risk"/>
    <x v="2"/>
    <n v="1"/>
  </r>
  <r>
    <s v="female"/>
    <s v="group D"/>
    <x v="1"/>
    <x v="1"/>
    <x v="1"/>
    <n v="67"/>
    <n v="86"/>
    <n v="83"/>
    <n v="78.666666666666671"/>
    <n v="1"/>
    <s v="Pass"/>
    <x v="0"/>
    <n v="19"/>
  </r>
  <r>
    <s v="male"/>
    <s v="group E"/>
    <x v="4"/>
    <x v="1"/>
    <x v="1"/>
    <n v="86"/>
    <n v="81"/>
    <n v="75"/>
    <n v="80.666666666666671"/>
    <n v="1"/>
    <s v="Pass"/>
    <x v="1"/>
    <n v="11"/>
  </r>
  <r>
    <s v="female"/>
    <s v="group B"/>
    <x v="5"/>
    <x v="0"/>
    <x v="1"/>
    <n v="65"/>
    <n v="82"/>
    <n v="78"/>
    <n v="75"/>
    <n v="1"/>
    <s v="Pass"/>
    <x v="0"/>
    <n v="17"/>
  </r>
  <r>
    <s v="female"/>
    <s v="group D"/>
    <x v="3"/>
    <x v="1"/>
    <x v="0"/>
    <n v="55"/>
    <n v="76"/>
    <n v="76"/>
    <n v="69"/>
    <n v="1"/>
    <s v="Pass"/>
    <x v="0"/>
    <n v="21"/>
  </r>
  <r>
    <s v="female"/>
    <s v="group D"/>
    <x v="0"/>
    <x v="1"/>
    <x v="0"/>
    <n v="62"/>
    <n v="72"/>
    <n v="74"/>
    <n v="69.333333333333329"/>
    <n v="1"/>
    <s v="Pass"/>
    <x v="0"/>
    <n v="12"/>
  </r>
  <r>
    <s v="male"/>
    <s v="group A"/>
    <x v="4"/>
    <x v="0"/>
    <x v="0"/>
    <n v="63"/>
    <n v="63"/>
    <n v="62"/>
    <n v="62.666666666666664"/>
    <n v="1"/>
    <s v="Pass"/>
    <x v="0"/>
    <n v="1"/>
  </r>
  <r>
    <s v="female"/>
    <s v="group E"/>
    <x v="2"/>
    <x v="0"/>
    <x v="1"/>
    <n v="88"/>
    <n v="99"/>
    <n v="95"/>
    <n v="94"/>
    <n v="1"/>
    <s v="Pass"/>
    <x v="1"/>
    <n v="11"/>
  </r>
  <r>
    <s v="male"/>
    <s v="group C"/>
    <x v="4"/>
    <x v="1"/>
    <x v="0"/>
    <n v="62"/>
    <n v="55"/>
    <n v="55"/>
    <n v="57.333333333333336"/>
    <n v="0"/>
    <s v="At Risk"/>
    <x v="2"/>
    <n v="7"/>
  </r>
  <r>
    <s v="female"/>
    <s v="group C"/>
    <x v="4"/>
    <x v="1"/>
    <x v="1"/>
    <n v="59"/>
    <n v="71"/>
    <n v="65"/>
    <n v="65"/>
    <n v="1"/>
    <s v="Pass"/>
    <x v="0"/>
    <n v="12"/>
  </r>
  <r>
    <s v="female"/>
    <s v="group D"/>
    <x v="1"/>
    <x v="0"/>
    <x v="1"/>
    <n v="68"/>
    <n v="78"/>
    <n v="77"/>
    <n v="74.333333333333329"/>
    <n v="1"/>
    <s v="Pass"/>
    <x v="0"/>
    <n v="10"/>
  </r>
  <r>
    <s v="female"/>
    <s v="group D"/>
    <x v="1"/>
    <x v="1"/>
    <x v="0"/>
    <n v="77"/>
    <n v="86"/>
    <n v="86"/>
    <n v="83"/>
    <n v="1"/>
    <s v="Pass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893D5-F51A-4EBB-9026-FF032C0436D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:J3" firstHeaderRow="0" firstDataRow="1" firstDataCol="0"/>
  <pivotFields count="13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numFmtId="164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ath" fld="5" subtotal="average" baseField="0" baseItem="1"/>
    <dataField name="Reading" fld="6" subtotal="average" baseField="0" baseItem="1"/>
    <dataField name="Writing" fld="7" subtotal="average" baseField="0" baseItem="2"/>
  </dataFields>
  <formats count="1">
    <format dxfId="0">
      <pivotArea outline="0" collapsedLevelsAreSubtotals="1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2E3F3-13F7-48EA-B749-5ECEA0013F1B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 rowHeaderCaption="Perfromance Band">
  <location ref="A11:B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Student Count" fld="10" subtotal="count" baseField="11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12E86-FAF4-4C12-BBA8-975CB308BD0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Parental Education">
  <location ref="D11:E17" firstHeaderRow="1" firstDataRow="1" firstDataCol="1"/>
  <pivotFields count="13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ass Rate" fld="9" subtotal="average" baseField="2" baseItem="0" numFmtId="165"/>
  </dataFields>
  <formats count="1">
    <format dxfId="1">
      <pivotArea outline="0" collapsedLevelsAreSubtotals="1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D35CD-49EC-4137-B7B2-0837E4456EC8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Lunch Type">
  <location ref="D2:E4" firstHeaderRow="1" firstDataRow="1" firstDataCol="1"/>
  <pivotFields count="13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Avg Score" fld="8" subtotal="average" baseField="3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D0112-6983-4A7D-97E7-95F6392CE22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Test Prep Status">
  <location ref="A2:B4" firstHeaderRow="1" firstDataRow="1" firstDataCol="1"/>
  <pivotFields count="13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Avg Score" fld="8" subtotal="average" baseField="4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5642F-B8BF-41F2-A8A1-0E6878C40679}" name="tblStudents" displayName="tblStudents" ref="A1:M1001" totalsRowShown="0">
  <autoFilter ref="A1:M1001" xr:uid="{7405642F-B8BF-41F2-A8A1-0E6878C40679}"/>
  <tableColumns count="13">
    <tableColumn id="1" xr3:uid="{3739CCE1-40F1-42B5-8729-B7C3A2D73C41}" name="Gender"/>
    <tableColumn id="2" xr3:uid="{F729EDA8-5F94-47A9-81C7-D6872A0708A6}" name="Race/Ethnicity"/>
    <tableColumn id="3" xr3:uid="{C3C5F975-57FE-4F67-9C28-6C44F4C2F344}" name="Parental Level of Education"/>
    <tableColumn id="4" xr3:uid="{14B40C18-9353-4CA8-8E5A-11726832B9D9}" name="Lunch"/>
    <tableColumn id="5" xr3:uid="{D143E406-1141-4E6B-8FB1-448E52EA6B43}" name="Test Preparation Course"/>
    <tableColumn id="6" xr3:uid="{7A18A24F-2072-4F23-8266-2E3C4C124B6F}" name="Math Score"/>
    <tableColumn id="7" xr3:uid="{DD745725-105F-4297-8646-3A410AAE7AA0}" name="Reading Score"/>
    <tableColumn id="8" xr3:uid="{BDFC46D6-E8AD-4EA8-BAB8-F6A6A7C8CB2A}" name="Writing Score"/>
    <tableColumn id="9" xr3:uid="{0E33F31B-3BEE-4D68-9BD8-E3CAF16540ED}" name="Average Score" dataDxfId="6">
      <calculatedColumnFormula>AVERAGE(tblStudents[[#This Row],[Math Score]],tblStudents[[#This Row],[Reading Score]],tblStudents[[#This Row],[Writing Score]])</calculatedColumnFormula>
    </tableColumn>
    <tableColumn id="10" xr3:uid="{5FAD005F-03A6-4DAC-8A11-761215AEB798}" name="Pass Flag" dataDxfId="5">
      <calculatedColumnFormula>IF(tblStudents[[#This Row],[Average Score]]&gt;=60,1,0)</calculatedColumnFormula>
    </tableColumn>
    <tableColumn id="11" xr3:uid="{C7B4E9E4-1E37-4018-B5E8-94A4DC08D9D8}" name="Outcome" dataDxfId="4">
      <calculatedColumnFormula>IF(tblStudents[[#This Row],[Average Score]]&gt;=60,"Pass","At Risk")</calculatedColumnFormula>
    </tableColumn>
    <tableColumn id="12" xr3:uid="{28A82EA7-7795-40DE-A071-A917C9D9B926}" name="Performance Band" dataDxfId="3">
      <calculatedColumnFormula array="1">_xlfn.IFS(tblStudents[[#This Row],[Average Score]]&gt;=80,"High",tblStudents[[#This Row],[Average Score]]&gt;=60,"Meets Standard",TRUE,"At Risk")</calculatedColumnFormula>
    </tableColumn>
    <tableColumn id="13" xr3:uid="{3491616D-30A3-45D5-B08E-CE5F7E64BEB5}" name="Score Gap" dataDxfId="2">
      <calculatedColumnFormula>MAX(tblStudents[[#This Row],[Math Score]],tblStudents[[#This Row],[Reading Score]],tblStudents[[#This Row],[Writing Score]])-MIN(tblStudents[[#This Row],[Math Score]],tblStudents[[#This Row],[Reading Score]],tblStudents[[#This Row],[Writing Score]])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54CB-D45D-498A-8757-FFEA41D68439}">
  <dimension ref="A1:M1001"/>
  <sheetViews>
    <sheetView workbookViewId="0">
      <selection activeCell="B2" sqref="B2"/>
    </sheetView>
  </sheetViews>
  <sheetFormatPr defaultRowHeight="15" x14ac:dyDescent="0.25"/>
  <cols>
    <col min="1" max="1" width="10" bestFit="1" customWidth="1"/>
    <col min="2" max="2" width="16.5703125" bestFit="1" customWidth="1"/>
    <col min="3" max="3" width="28.28515625" bestFit="1" customWidth="1"/>
    <col min="4" max="4" width="12.140625" bestFit="1" customWidth="1"/>
    <col min="5" max="5" width="25.42578125" bestFit="1" customWidth="1"/>
    <col min="6" max="6" width="13.28515625" bestFit="1" customWidth="1"/>
    <col min="7" max="7" width="16.28515625" bestFit="1" customWidth="1"/>
    <col min="8" max="8" width="15.5703125" bestFit="1" customWidth="1"/>
    <col min="9" max="9" width="16.140625" bestFit="1" customWidth="1"/>
    <col min="10" max="10" width="11.42578125" bestFit="1" customWidth="1"/>
    <col min="11" max="11" width="11.5703125" bestFit="1" customWidth="1"/>
    <col min="12" max="12" width="20" bestFit="1" customWidth="1"/>
    <col min="13" max="13" width="12.42578125" bestFit="1" customWidth="1"/>
  </cols>
  <sheetData>
    <row r="1" spans="1:13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72</v>
      </c>
      <c r="G2">
        <v>72</v>
      </c>
      <c r="H2">
        <v>74</v>
      </c>
      <c r="I2" s="1">
        <f>AVERAGE(tblStudents[[#This Row],[Math Score]],tblStudents[[#This Row],[Reading Score]],tblStudents[[#This Row],[Writing Score]])</f>
        <v>72.666666666666671</v>
      </c>
      <c r="J2">
        <f>IF(tblStudents[[#This Row],[Average Score]]&gt;=60,1,0)</f>
        <v>1</v>
      </c>
      <c r="K2" t="str">
        <f>IF(tblStudents[[#This Row],[Average Score]]&gt;=60,"Pass","At Risk")</f>
        <v>Pass</v>
      </c>
      <c r="L2" t="str" cm="1">
        <f t="array" ref="L2">_xlfn.IFS(tblStudents[[#This Row],[Average Score]]&gt;=80,"High",tblStudents[[#This Row],[Average Score]]&gt;=60,"Meets Standard",TRUE,"At Risk")</f>
        <v>Meets Standard</v>
      </c>
      <c r="M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" spans="1:13" x14ac:dyDescent="0.25">
      <c r="A3" t="s">
        <v>0</v>
      </c>
      <c r="B3" t="s">
        <v>5</v>
      </c>
      <c r="C3" t="s">
        <v>6</v>
      </c>
      <c r="D3" t="s">
        <v>3</v>
      </c>
      <c r="E3" t="s">
        <v>7</v>
      </c>
      <c r="F3">
        <v>69</v>
      </c>
      <c r="G3">
        <v>90</v>
      </c>
      <c r="H3">
        <v>88</v>
      </c>
      <c r="I3" s="1">
        <f>AVERAGE(tblStudents[[#This Row],[Math Score]],tblStudents[[#This Row],[Reading Score]],tblStudents[[#This Row],[Writing Score]])</f>
        <v>82.333333333333329</v>
      </c>
      <c r="J3">
        <f>IF(tblStudents[[#This Row],[Average Score]]&gt;=60,1,0)</f>
        <v>1</v>
      </c>
      <c r="K3" t="str">
        <f>IF(tblStudents[[#This Row],[Average Score]]&gt;=60,"Pass","At Risk")</f>
        <v>Pass</v>
      </c>
      <c r="L3" t="str" cm="1">
        <f t="array" ref="L3">_xlfn.IFS(tblStudents[[#This Row],[Average Score]]&gt;=80,"High",tblStudents[[#This Row],[Average Score]]&gt;=60,"Meets Standard",TRUE,"At Risk")</f>
        <v>High</v>
      </c>
      <c r="M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4" spans="1:13" x14ac:dyDescent="0.25">
      <c r="A4" t="s">
        <v>0</v>
      </c>
      <c r="B4" t="s">
        <v>1</v>
      </c>
      <c r="C4" t="s">
        <v>8</v>
      </c>
      <c r="D4" t="s">
        <v>3</v>
      </c>
      <c r="E4" t="s">
        <v>4</v>
      </c>
      <c r="F4">
        <v>90</v>
      </c>
      <c r="G4">
        <v>95</v>
      </c>
      <c r="H4">
        <v>93</v>
      </c>
      <c r="I4" s="1">
        <f>AVERAGE(tblStudents[[#This Row],[Math Score]],tblStudents[[#This Row],[Reading Score]],tblStudents[[#This Row],[Writing Score]])</f>
        <v>92.666666666666671</v>
      </c>
      <c r="J4">
        <f>IF(tblStudents[[#This Row],[Average Score]]&gt;=60,1,0)</f>
        <v>1</v>
      </c>
      <c r="K4" t="str">
        <f>IF(tblStudents[[#This Row],[Average Score]]&gt;=60,"Pass","At Risk")</f>
        <v>Pass</v>
      </c>
      <c r="L4" t="str" cm="1">
        <f t="array" ref="L4">_xlfn.IFS(tblStudents[[#This Row],[Average Score]]&gt;=80,"High",tblStudents[[#This Row],[Average Score]]&gt;=60,"Meets Standard",TRUE,"At Risk")</f>
        <v>High</v>
      </c>
      <c r="M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" spans="1:13" x14ac:dyDescent="0.25">
      <c r="A5" t="s">
        <v>9</v>
      </c>
      <c r="B5" t="s">
        <v>10</v>
      </c>
      <c r="C5" t="s">
        <v>11</v>
      </c>
      <c r="D5" t="s">
        <v>12</v>
      </c>
      <c r="E5" t="s">
        <v>4</v>
      </c>
      <c r="F5">
        <v>47</v>
      </c>
      <c r="G5">
        <v>57</v>
      </c>
      <c r="H5">
        <v>44</v>
      </c>
      <c r="I5" s="1">
        <f>AVERAGE(tblStudents[[#This Row],[Math Score]],tblStudents[[#This Row],[Reading Score]],tblStudents[[#This Row],[Writing Score]])</f>
        <v>49.333333333333336</v>
      </c>
      <c r="J5">
        <f>IF(tblStudents[[#This Row],[Average Score]]&gt;=60,1,0)</f>
        <v>0</v>
      </c>
      <c r="K5" t="str">
        <f>IF(tblStudents[[#This Row],[Average Score]]&gt;=60,"Pass","At Risk")</f>
        <v>At Risk</v>
      </c>
      <c r="L5" t="str" cm="1">
        <f t="array" ref="L5">_xlfn.IFS(tblStudents[[#This Row],[Average Score]]&gt;=80,"High",tblStudents[[#This Row],[Average Score]]&gt;=60,"Meets Standard",TRUE,"At Risk")</f>
        <v>At Risk</v>
      </c>
      <c r="M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6" spans="1:13" x14ac:dyDescent="0.25">
      <c r="A6" t="s">
        <v>9</v>
      </c>
      <c r="B6" t="s">
        <v>5</v>
      </c>
      <c r="C6" t="s">
        <v>6</v>
      </c>
      <c r="D6" t="s">
        <v>3</v>
      </c>
      <c r="E6" t="s">
        <v>4</v>
      </c>
      <c r="F6">
        <v>76</v>
      </c>
      <c r="G6">
        <v>78</v>
      </c>
      <c r="H6">
        <v>75</v>
      </c>
      <c r="I6" s="1">
        <f>AVERAGE(tblStudents[[#This Row],[Math Score]],tblStudents[[#This Row],[Reading Score]],tblStudents[[#This Row],[Writing Score]])</f>
        <v>76.333333333333329</v>
      </c>
      <c r="J6">
        <f>IF(tblStudents[[#This Row],[Average Score]]&gt;=60,1,0)</f>
        <v>1</v>
      </c>
      <c r="K6" t="str">
        <f>IF(tblStudents[[#This Row],[Average Score]]&gt;=60,"Pass","At Risk")</f>
        <v>Pass</v>
      </c>
      <c r="L6" t="str" cm="1">
        <f t="array" ref="L6">_xlfn.IFS(tblStudents[[#This Row],[Average Score]]&gt;=80,"High",tblStudents[[#This Row],[Average Score]]&gt;=60,"Meets Standard",TRUE,"At Risk")</f>
        <v>Meets Standard</v>
      </c>
      <c r="M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" spans="1:13" x14ac:dyDescent="0.25">
      <c r="A7" t="s">
        <v>0</v>
      </c>
      <c r="B7" t="s">
        <v>1</v>
      </c>
      <c r="C7" t="s">
        <v>11</v>
      </c>
      <c r="D7" t="s">
        <v>3</v>
      </c>
      <c r="E7" t="s">
        <v>4</v>
      </c>
      <c r="F7">
        <v>71</v>
      </c>
      <c r="G7">
        <v>83</v>
      </c>
      <c r="H7">
        <v>78</v>
      </c>
      <c r="I7" s="1">
        <f>AVERAGE(tblStudents[[#This Row],[Math Score]],tblStudents[[#This Row],[Reading Score]],tblStudents[[#This Row],[Writing Score]])</f>
        <v>77.333333333333329</v>
      </c>
      <c r="J7">
        <f>IF(tblStudents[[#This Row],[Average Score]]&gt;=60,1,0)</f>
        <v>1</v>
      </c>
      <c r="K7" t="str">
        <f>IF(tblStudents[[#This Row],[Average Score]]&gt;=60,"Pass","At Risk")</f>
        <v>Pass</v>
      </c>
      <c r="L7" t="str" cm="1">
        <f t="array" ref="L7">_xlfn.IFS(tblStudents[[#This Row],[Average Score]]&gt;=80,"High",tblStudents[[#This Row],[Average Score]]&gt;=60,"Meets Standard",TRUE,"At Risk")</f>
        <v>Meets Standard</v>
      </c>
      <c r="M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8" spans="1:13" x14ac:dyDescent="0.25">
      <c r="A8" t="s">
        <v>0</v>
      </c>
      <c r="B8" t="s">
        <v>1</v>
      </c>
      <c r="C8" t="s">
        <v>6</v>
      </c>
      <c r="D8" t="s">
        <v>3</v>
      </c>
      <c r="E8" t="s">
        <v>7</v>
      </c>
      <c r="F8">
        <v>88</v>
      </c>
      <c r="G8">
        <v>95</v>
      </c>
      <c r="H8">
        <v>92</v>
      </c>
      <c r="I8" s="1">
        <f>AVERAGE(tblStudents[[#This Row],[Math Score]],tblStudents[[#This Row],[Reading Score]],tblStudents[[#This Row],[Writing Score]])</f>
        <v>91.666666666666671</v>
      </c>
      <c r="J8">
        <f>IF(tblStudents[[#This Row],[Average Score]]&gt;=60,1,0)</f>
        <v>1</v>
      </c>
      <c r="K8" t="str">
        <f>IF(tblStudents[[#This Row],[Average Score]]&gt;=60,"Pass","At Risk")</f>
        <v>Pass</v>
      </c>
      <c r="L8" t="str" cm="1">
        <f t="array" ref="L8">_xlfn.IFS(tblStudents[[#This Row],[Average Score]]&gt;=80,"High",tblStudents[[#This Row],[Average Score]]&gt;=60,"Meets Standard",TRUE,"At Risk")</f>
        <v>High</v>
      </c>
      <c r="M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" spans="1:13" x14ac:dyDescent="0.25">
      <c r="A9" t="s">
        <v>9</v>
      </c>
      <c r="B9" t="s">
        <v>1</v>
      </c>
      <c r="C9" t="s">
        <v>6</v>
      </c>
      <c r="D9" t="s">
        <v>12</v>
      </c>
      <c r="E9" t="s">
        <v>4</v>
      </c>
      <c r="F9">
        <v>40</v>
      </c>
      <c r="G9">
        <v>43</v>
      </c>
      <c r="H9">
        <v>39</v>
      </c>
      <c r="I9" s="1">
        <f>AVERAGE(tblStudents[[#This Row],[Math Score]],tblStudents[[#This Row],[Reading Score]],tblStudents[[#This Row],[Writing Score]])</f>
        <v>40.666666666666664</v>
      </c>
      <c r="J9">
        <f>IF(tblStudents[[#This Row],[Average Score]]&gt;=60,1,0)</f>
        <v>0</v>
      </c>
      <c r="K9" t="str">
        <f>IF(tblStudents[[#This Row],[Average Score]]&gt;=60,"Pass","At Risk")</f>
        <v>At Risk</v>
      </c>
      <c r="L9" t="str" cm="1">
        <f t="array" ref="L9">_xlfn.IFS(tblStudents[[#This Row],[Average Score]]&gt;=80,"High",tblStudents[[#This Row],[Average Score]]&gt;=60,"Meets Standard",TRUE,"At Risk")</f>
        <v>At Risk</v>
      </c>
      <c r="M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0" spans="1:13" x14ac:dyDescent="0.25">
      <c r="A10" t="s">
        <v>9</v>
      </c>
      <c r="B10" t="s">
        <v>13</v>
      </c>
      <c r="C10" t="s">
        <v>14</v>
      </c>
      <c r="D10" t="s">
        <v>12</v>
      </c>
      <c r="E10" t="s">
        <v>7</v>
      </c>
      <c r="F10">
        <v>64</v>
      </c>
      <c r="G10">
        <v>64</v>
      </c>
      <c r="H10">
        <v>67</v>
      </c>
      <c r="I10" s="1">
        <f>AVERAGE(tblStudents[[#This Row],[Math Score]],tblStudents[[#This Row],[Reading Score]],tblStudents[[#This Row],[Writing Score]])</f>
        <v>65</v>
      </c>
      <c r="J10">
        <f>IF(tblStudents[[#This Row],[Average Score]]&gt;=60,1,0)</f>
        <v>1</v>
      </c>
      <c r="K10" t="str">
        <f>IF(tblStudents[[#This Row],[Average Score]]&gt;=60,"Pass","At Risk")</f>
        <v>Pass</v>
      </c>
      <c r="L10" t="str" cm="1">
        <f t="array" ref="L10">_xlfn.IFS(tblStudents[[#This Row],[Average Score]]&gt;=80,"High",tblStudents[[#This Row],[Average Score]]&gt;=60,"Meets Standard",TRUE,"At Risk")</f>
        <v>Meets Standard</v>
      </c>
      <c r="M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11" spans="1:13" x14ac:dyDescent="0.25">
      <c r="A11" t="s">
        <v>0</v>
      </c>
      <c r="B11" t="s">
        <v>1</v>
      </c>
      <c r="C11" t="s">
        <v>14</v>
      </c>
      <c r="D11" t="s">
        <v>12</v>
      </c>
      <c r="E11" t="s">
        <v>4</v>
      </c>
      <c r="F11">
        <v>38</v>
      </c>
      <c r="G11">
        <v>60</v>
      </c>
      <c r="H11">
        <v>50</v>
      </c>
      <c r="I11" s="1">
        <f>AVERAGE(tblStudents[[#This Row],[Math Score]],tblStudents[[#This Row],[Reading Score]],tblStudents[[#This Row],[Writing Score]])</f>
        <v>49.333333333333336</v>
      </c>
      <c r="J11">
        <f>IF(tblStudents[[#This Row],[Average Score]]&gt;=60,1,0)</f>
        <v>0</v>
      </c>
      <c r="K11" t="str">
        <f>IF(tblStudents[[#This Row],[Average Score]]&gt;=60,"Pass","At Risk")</f>
        <v>At Risk</v>
      </c>
      <c r="L11" t="str" cm="1">
        <f t="array" ref="L11">_xlfn.IFS(tblStudents[[#This Row],[Average Score]]&gt;=80,"High",tblStudents[[#This Row],[Average Score]]&gt;=60,"Meets Standard",TRUE,"At Risk")</f>
        <v>At Risk</v>
      </c>
      <c r="M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22</v>
      </c>
    </row>
    <row r="12" spans="1:13" x14ac:dyDescent="0.25">
      <c r="A12" t="s">
        <v>9</v>
      </c>
      <c r="B12" t="s">
        <v>5</v>
      </c>
      <c r="C12" t="s">
        <v>11</v>
      </c>
      <c r="D12" t="s">
        <v>3</v>
      </c>
      <c r="E12" t="s">
        <v>4</v>
      </c>
      <c r="F12">
        <v>58</v>
      </c>
      <c r="G12">
        <v>54</v>
      </c>
      <c r="H12">
        <v>52</v>
      </c>
      <c r="I12" s="1">
        <f>AVERAGE(tblStudents[[#This Row],[Math Score]],tblStudents[[#This Row],[Reading Score]],tblStudents[[#This Row],[Writing Score]])</f>
        <v>54.666666666666664</v>
      </c>
      <c r="J12">
        <f>IF(tblStudents[[#This Row],[Average Score]]&gt;=60,1,0)</f>
        <v>0</v>
      </c>
      <c r="K12" t="str">
        <f>IF(tblStudents[[#This Row],[Average Score]]&gt;=60,"Pass","At Risk")</f>
        <v>At Risk</v>
      </c>
      <c r="L12" t="str" cm="1">
        <f t="array" ref="L12">_xlfn.IFS(tblStudents[[#This Row],[Average Score]]&gt;=80,"High",tblStudents[[#This Row],[Average Score]]&gt;=60,"Meets Standard",TRUE,"At Risk")</f>
        <v>At Risk</v>
      </c>
      <c r="M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13" spans="1:13" x14ac:dyDescent="0.25">
      <c r="A13" t="s">
        <v>9</v>
      </c>
      <c r="B13" t="s">
        <v>13</v>
      </c>
      <c r="C13" t="s">
        <v>11</v>
      </c>
      <c r="D13" t="s">
        <v>3</v>
      </c>
      <c r="E13" t="s">
        <v>4</v>
      </c>
      <c r="F13">
        <v>40</v>
      </c>
      <c r="G13">
        <v>52</v>
      </c>
      <c r="H13">
        <v>43</v>
      </c>
      <c r="I13" s="1">
        <f>AVERAGE(tblStudents[[#This Row],[Math Score]],tblStudents[[#This Row],[Reading Score]],tblStudents[[#This Row],[Writing Score]])</f>
        <v>45</v>
      </c>
      <c r="J13">
        <f>IF(tblStudents[[#This Row],[Average Score]]&gt;=60,1,0)</f>
        <v>0</v>
      </c>
      <c r="K13" t="str">
        <f>IF(tblStudents[[#This Row],[Average Score]]&gt;=60,"Pass","At Risk")</f>
        <v>At Risk</v>
      </c>
      <c r="L13" t="str" cm="1">
        <f t="array" ref="L13">_xlfn.IFS(tblStudents[[#This Row],[Average Score]]&gt;=80,"High",tblStudents[[#This Row],[Average Score]]&gt;=60,"Meets Standard",TRUE,"At Risk")</f>
        <v>At Risk</v>
      </c>
      <c r="M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4" spans="1:13" x14ac:dyDescent="0.25">
      <c r="A14" t="s">
        <v>0</v>
      </c>
      <c r="B14" t="s">
        <v>1</v>
      </c>
      <c r="C14" t="s">
        <v>14</v>
      </c>
      <c r="D14" t="s">
        <v>3</v>
      </c>
      <c r="E14" t="s">
        <v>4</v>
      </c>
      <c r="F14">
        <v>65</v>
      </c>
      <c r="G14">
        <v>81</v>
      </c>
      <c r="H14">
        <v>73</v>
      </c>
      <c r="I14" s="1">
        <f>AVERAGE(tblStudents[[#This Row],[Math Score]],tblStudents[[#This Row],[Reading Score]],tblStudents[[#This Row],[Writing Score]])</f>
        <v>73</v>
      </c>
      <c r="J14">
        <f>IF(tblStudents[[#This Row],[Average Score]]&gt;=60,1,0)</f>
        <v>1</v>
      </c>
      <c r="K14" t="str">
        <f>IF(tblStudents[[#This Row],[Average Score]]&gt;=60,"Pass","At Risk")</f>
        <v>Pass</v>
      </c>
      <c r="L14" t="str" cm="1">
        <f t="array" ref="L14">_xlfn.IFS(tblStudents[[#This Row],[Average Score]]&gt;=80,"High",tblStudents[[#This Row],[Average Score]]&gt;=60,"Meets Standard",TRUE,"At Risk")</f>
        <v>Meets Standard</v>
      </c>
      <c r="M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15" spans="1:13" x14ac:dyDescent="0.25">
      <c r="A15" t="s">
        <v>9</v>
      </c>
      <c r="B15" t="s">
        <v>10</v>
      </c>
      <c r="C15" t="s">
        <v>6</v>
      </c>
      <c r="D15" t="s">
        <v>3</v>
      </c>
      <c r="E15" t="s">
        <v>7</v>
      </c>
      <c r="F15">
        <v>78</v>
      </c>
      <c r="G15">
        <v>72</v>
      </c>
      <c r="H15">
        <v>70</v>
      </c>
      <c r="I15" s="1">
        <f>AVERAGE(tblStudents[[#This Row],[Math Score]],tblStudents[[#This Row],[Reading Score]],tblStudents[[#This Row],[Writing Score]])</f>
        <v>73.333333333333329</v>
      </c>
      <c r="J15">
        <f>IF(tblStudents[[#This Row],[Average Score]]&gt;=60,1,0)</f>
        <v>1</v>
      </c>
      <c r="K15" t="str">
        <f>IF(tblStudents[[#This Row],[Average Score]]&gt;=60,"Pass","At Risk")</f>
        <v>Pass</v>
      </c>
      <c r="L15" t="str" cm="1">
        <f t="array" ref="L15">_xlfn.IFS(tblStudents[[#This Row],[Average Score]]&gt;=80,"High",tblStudents[[#This Row],[Average Score]]&gt;=60,"Meets Standard",TRUE,"At Risk")</f>
        <v>Meets Standard</v>
      </c>
      <c r="M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6" spans="1:13" x14ac:dyDescent="0.25">
      <c r="A16" t="s">
        <v>0</v>
      </c>
      <c r="B16" t="s">
        <v>10</v>
      </c>
      <c r="C16" t="s">
        <v>8</v>
      </c>
      <c r="D16" t="s">
        <v>3</v>
      </c>
      <c r="E16" t="s">
        <v>4</v>
      </c>
      <c r="F16">
        <v>50</v>
      </c>
      <c r="G16">
        <v>53</v>
      </c>
      <c r="H16">
        <v>58</v>
      </c>
      <c r="I16" s="1">
        <f>AVERAGE(tblStudents[[#This Row],[Math Score]],tblStudents[[#This Row],[Reading Score]],tblStudents[[#This Row],[Writing Score]])</f>
        <v>53.666666666666664</v>
      </c>
      <c r="J16">
        <f>IF(tblStudents[[#This Row],[Average Score]]&gt;=60,1,0)</f>
        <v>0</v>
      </c>
      <c r="K16" t="str">
        <f>IF(tblStudents[[#This Row],[Average Score]]&gt;=60,"Pass","At Risk")</f>
        <v>At Risk</v>
      </c>
      <c r="L16" t="str" cm="1">
        <f t="array" ref="L16">_xlfn.IFS(tblStudents[[#This Row],[Average Score]]&gt;=80,"High",tblStudents[[#This Row],[Average Score]]&gt;=60,"Meets Standard",TRUE,"At Risk")</f>
        <v>At Risk</v>
      </c>
      <c r="M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7" spans="1:13" x14ac:dyDescent="0.25">
      <c r="A17" t="s">
        <v>0</v>
      </c>
      <c r="B17" t="s">
        <v>5</v>
      </c>
      <c r="C17" t="s">
        <v>15</v>
      </c>
      <c r="D17" t="s">
        <v>3</v>
      </c>
      <c r="E17" t="s">
        <v>4</v>
      </c>
      <c r="F17">
        <v>69</v>
      </c>
      <c r="G17">
        <v>75</v>
      </c>
      <c r="H17">
        <v>78</v>
      </c>
      <c r="I17" s="1">
        <f>AVERAGE(tblStudents[[#This Row],[Math Score]],tblStudents[[#This Row],[Reading Score]],tblStudents[[#This Row],[Writing Score]])</f>
        <v>74</v>
      </c>
      <c r="J17">
        <f>IF(tblStudents[[#This Row],[Average Score]]&gt;=60,1,0)</f>
        <v>1</v>
      </c>
      <c r="K17" t="str">
        <f>IF(tblStudents[[#This Row],[Average Score]]&gt;=60,"Pass","At Risk")</f>
        <v>Pass</v>
      </c>
      <c r="L17" t="str" cm="1">
        <f t="array" ref="L17">_xlfn.IFS(tblStudents[[#This Row],[Average Score]]&gt;=80,"High",tblStudents[[#This Row],[Average Score]]&gt;=60,"Meets Standard",TRUE,"At Risk")</f>
        <v>Meets Standard</v>
      </c>
      <c r="M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18" spans="1:13" x14ac:dyDescent="0.25">
      <c r="A18" t="s">
        <v>9</v>
      </c>
      <c r="B18" t="s">
        <v>5</v>
      </c>
      <c r="C18" t="s">
        <v>14</v>
      </c>
      <c r="D18" t="s">
        <v>3</v>
      </c>
      <c r="E18" t="s">
        <v>4</v>
      </c>
      <c r="F18">
        <v>88</v>
      </c>
      <c r="G18">
        <v>89</v>
      </c>
      <c r="H18">
        <v>86</v>
      </c>
      <c r="I18" s="1">
        <f>AVERAGE(tblStudents[[#This Row],[Math Score]],tblStudents[[#This Row],[Reading Score]],tblStudents[[#This Row],[Writing Score]])</f>
        <v>87.666666666666671</v>
      </c>
      <c r="J18">
        <f>IF(tblStudents[[#This Row],[Average Score]]&gt;=60,1,0)</f>
        <v>1</v>
      </c>
      <c r="K18" t="str">
        <f>IF(tblStudents[[#This Row],[Average Score]]&gt;=60,"Pass","At Risk")</f>
        <v>Pass</v>
      </c>
      <c r="L18" t="str" cm="1">
        <f t="array" ref="L18">_xlfn.IFS(tblStudents[[#This Row],[Average Score]]&gt;=80,"High",tblStudents[[#This Row],[Average Score]]&gt;=60,"Meets Standard",TRUE,"At Risk")</f>
        <v>High</v>
      </c>
      <c r="M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19" spans="1:13" x14ac:dyDescent="0.25">
      <c r="A19" t="s">
        <v>0</v>
      </c>
      <c r="B19" t="s">
        <v>1</v>
      </c>
      <c r="C19" t="s">
        <v>15</v>
      </c>
      <c r="D19" t="s">
        <v>12</v>
      </c>
      <c r="E19" t="s">
        <v>4</v>
      </c>
      <c r="F19">
        <v>18</v>
      </c>
      <c r="G19">
        <v>32</v>
      </c>
      <c r="H19">
        <v>28</v>
      </c>
      <c r="I19" s="1">
        <f>AVERAGE(tblStudents[[#This Row],[Math Score]],tblStudents[[#This Row],[Reading Score]],tblStudents[[#This Row],[Writing Score]])</f>
        <v>26</v>
      </c>
      <c r="J19">
        <f>IF(tblStudents[[#This Row],[Average Score]]&gt;=60,1,0)</f>
        <v>0</v>
      </c>
      <c r="K19" t="str">
        <f>IF(tblStudents[[#This Row],[Average Score]]&gt;=60,"Pass","At Risk")</f>
        <v>At Risk</v>
      </c>
      <c r="L19" t="str" cm="1">
        <f t="array" ref="L19">_xlfn.IFS(tblStudents[[#This Row],[Average Score]]&gt;=80,"High",tblStudents[[#This Row],[Average Score]]&gt;=60,"Meets Standard",TRUE,"At Risk")</f>
        <v>At Risk</v>
      </c>
      <c r="M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20" spans="1:13" x14ac:dyDescent="0.25">
      <c r="A20" t="s">
        <v>9</v>
      </c>
      <c r="B20" t="s">
        <v>5</v>
      </c>
      <c r="C20" t="s">
        <v>8</v>
      </c>
      <c r="D20" t="s">
        <v>12</v>
      </c>
      <c r="E20" t="s">
        <v>7</v>
      </c>
      <c r="F20">
        <v>46</v>
      </c>
      <c r="G20">
        <v>42</v>
      </c>
      <c r="H20">
        <v>46</v>
      </c>
      <c r="I20" s="1">
        <f>AVERAGE(tblStudents[[#This Row],[Math Score]],tblStudents[[#This Row],[Reading Score]],tblStudents[[#This Row],[Writing Score]])</f>
        <v>44.666666666666664</v>
      </c>
      <c r="J20">
        <f>IF(tblStudents[[#This Row],[Average Score]]&gt;=60,1,0)</f>
        <v>0</v>
      </c>
      <c r="K20" t="str">
        <f>IF(tblStudents[[#This Row],[Average Score]]&gt;=60,"Pass","At Risk")</f>
        <v>At Risk</v>
      </c>
      <c r="L20" t="str" cm="1">
        <f t="array" ref="L20">_xlfn.IFS(tblStudents[[#This Row],[Average Score]]&gt;=80,"High",tblStudents[[#This Row],[Average Score]]&gt;=60,"Meets Standard",TRUE,"At Risk")</f>
        <v>At Risk</v>
      </c>
      <c r="M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21" spans="1:13" x14ac:dyDescent="0.25">
      <c r="A21" t="s">
        <v>0</v>
      </c>
      <c r="B21" t="s">
        <v>5</v>
      </c>
      <c r="C21" t="s">
        <v>11</v>
      </c>
      <c r="D21" t="s">
        <v>12</v>
      </c>
      <c r="E21" t="s">
        <v>4</v>
      </c>
      <c r="F21">
        <v>54</v>
      </c>
      <c r="G21">
        <v>58</v>
      </c>
      <c r="H21">
        <v>61</v>
      </c>
      <c r="I21" s="1">
        <f>AVERAGE(tblStudents[[#This Row],[Math Score]],tblStudents[[#This Row],[Reading Score]],tblStudents[[#This Row],[Writing Score]])</f>
        <v>57.666666666666664</v>
      </c>
      <c r="J21">
        <f>IF(tblStudents[[#This Row],[Average Score]]&gt;=60,1,0)</f>
        <v>0</v>
      </c>
      <c r="K21" t="str">
        <f>IF(tblStudents[[#This Row],[Average Score]]&gt;=60,"Pass","At Risk")</f>
        <v>At Risk</v>
      </c>
      <c r="L21" t="str" cm="1">
        <f t="array" ref="L21">_xlfn.IFS(tblStudents[[#This Row],[Average Score]]&gt;=80,"High",tblStudents[[#This Row],[Average Score]]&gt;=60,"Meets Standard",TRUE,"At Risk")</f>
        <v>At Risk</v>
      </c>
      <c r="M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2" spans="1:13" x14ac:dyDescent="0.25">
      <c r="A22" t="s">
        <v>9</v>
      </c>
      <c r="B22" t="s">
        <v>13</v>
      </c>
      <c r="C22" t="s">
        <v>14</v>
      </c>
      <c r="D22" t="s">
        <v>3</v>
      </c>
      <c r="E22" t="s">
        <v>4</v>
      </c>
      <c r="F22">
        <v>66</v>
      </c>
      <c r="G22">
        <v>69</v>
      </c>
      <c r="H22">
        <v>63</v>
      </c>
      <c r="I22" s="1">
        <f>AVERAGE(tblStudents[[#This Row],[Math Score]],tblStudents[[#This Row],[Reading Score]],tblStudents[[#This Row],[Writing Score]])</f>
        <v>66</v>
      </c>
      <c r="J22">
        <f>IF(tblStudents[[#This Row],[Average Score]]&gt;=60,1,0)</f>
        <v>1</v>
      </c>
      <c r="K22" t="str">
        <f>IF(tblStudents[[#This Row],[Average Score]]&gt;=60,"Pass","At Risk")</f>
        <v>Pass</v>
      </c>
      <c r="L22" t="str" cm="1">
        <f t="array" ref="L22">_xlfn.IFS(tblStudents[[#This Row],[Average Score]]&gt;=80,"High",tblStudents[[#This Row],[Average Score]]&gt;=60,"Meets Standard",TRUE,"At Risk")</f>
        <v>Meets Standard</v>
      </c>
      <c r="M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23" spans="1:13" x14ac:dyDescent="0.25">
      <c r="A23" t="s">
        <v>0</v>
      </c>
      <c r="B23" t="s">
        <v>1</v>
      </c>
      <c r="C23" t="s">
        <v>6</v>
      </c>
      <c r="D23" t="s">
        <v>12</v>
      </c>
      <c r="E23" t="s">
        <v>7</v>
      </c>
      <c r="F23">
        <v>65</v>
      </c>
      <c r="G23">
        <v>75</v>
      </c>
      <c r="H23">
        <v>70</v>
      </c>
      <c r="I23" s="1">
        <f>AVERAGE(tblStudents[[#This Row],[Math Score]],tblStudents[[#This Row],[Reading Score]],tblStudents[[#This Row],[Writing Score]])</f>
        <v>70</v>
      </c>
      <c r="J23">
        <f>IF(tblStudents[[#This Row],[Average Score]]&gt;=60,1,0)</f>
        <v>1</v>
      </c>
      <c r="K23" t="str">
        <f>IF(tblStudents[[#This Row],[Average Score]]&gt;=60,"Pass","At Risk")</f>
        <v>Pass</v>
      </c>
      <c r="L23" t="str" cm="1">
        <f t="array" ref="L23">_xlfn.IFS(tblStudents[[#This Row],[Average Score]]&gt;=80,"High",tblStudents[[#This Row],[Average Score]]&gt;=60,"Meets Standard",TRUE,"At Risk")</f>
        <v>Meets Standard</v>
      </c>
      <c r="M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4" spans="1:13" x14ac:dyDescent="0.25">
      <c r="A24" t="s">
        <v>9</v>
      </c>
      <c r="B24" t="s">
        <v>13</v>
      </c>
      <c r="C24" t="s">
        <v>6</v>
      </c>
      <c r="D24" t="s">
        <v>3</v>
      </c>
      <c r="E24" t="s">
        <v>4</v>
      </c>
      <c r="F24">
        <v>44</v>
      </c>
      <c r="G24">
        <v>54</v>
      </c>
      <c r="H24">
        <v>53</v>
      </c>
      <c r="I24" s="1">
        <f>AVERAGE(tblStudents[[#This Row],[Math Score]],tblStudents[[#This Row],[Reading Score]],tblStudents[[#This Row],[Writing Score]])</f>
        <v>50.333333333333336</v>
      </c>
      <c r="J24">
        <f>IF(tblStudents[[#This Row],[Average Score]]&gt;=60,1,0)</f>
        <v>0</v>
      </c>
      <c r="K24" t="str">
        <f>IF(tblStudents[[#This Row],[Average Score]]&gt;=60,"Pass","At Risk")</f>
        <v>At Risk</v>
      </c>
      <c r="L24" t="str" cm="1">
        <f t="array" ref="L24">_xlfn.IFS(tblStudents[[#This Row],[Average Score]]&gt;=80,"High",tblStudents[[#This Row],[Average Score]]&gt;=60,"Meets Standard",TRUE,"At Risk")</f>
        <v>At Risk</v>
      </c>
      <c r="M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5" spans="1:13" x14ac:dyDescent="0.25">
      <c r="A25" t="s">
        <v>0</v>
      </c>
      <c r="B25" t="s">
        <v>5</v>
      </c>
      <c r="C25" t="s">
        <v>15</v>
      </c>
      <c r="D25" t="s">
        <v>3</v>
      </c>
      <c r="E25" t="s">
        <v>4</v>
      </c>
      <c r="F25">
        <v>69</v>
      </c>
      <c r="G25">
        <v>73</v>
      </c>
      <c r="H25">
        <v>73</v>
      </c>
      <c r="I25" s="1">
        <f>AVERAGE(tblStudents[[#This Row],[Math Score]],tblStudents[[#This Row],[Reading Score]],tblStudents[[#This Row],[Writing Score]])</f>
        <v>71.666666666666671</v>
      </c>
      <c r="J25">
        <f>IF(tblStudents[[#This Row],[Average Score]]&gt;=60,1,0)</f>
        <v>1</v>
      </c>
      <c r="K25" t="str">
        <f>IF(tblStudents[[#This Row],[Average Score]]&gt;=60,"Pass","At Risk")</f>
        <v>Pass</v>
      </c>
      <c r="L25" t="str" cm="1">
        <f t="array" ref="L25">_xlfn.IFS(tblStudents[[#This Row],[Average Score]]&gt;=80,"High",tblStudents[[#This Row],[Average Score]]&gt;=60,"Meets Standard",TRUE,"At Risk")</f>
        <v>Meets Standard</v>
      </c>
      <c r="M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26" spans="1:13" x14ac:dyDescent="0.25">
      <c r="A26" t="s">
        <v>9</v>
      </c>
      <c r="B26" t="s">
        <v>13</v>
      </c>
      <c r="C26" t="s">
        <v>2</v>
      </c>
      <c r="D26" t="s">
        <v>12</v>
      </c>
      <c r="E26" t="s">
        <v>7</v>
      </c>
      <c r="F26">
        <v>74</v>
      </c>
      <c r="G26">
        <v>71</v>
      </c>
      <c r="H26">
        <v>80</v>
      </c>
      <c r="I26" s="1">
        <f>AVERAGE(tblStudents[[#This Row],[Math Score]],tblStudents[[#This Row],[Reading Score]],tblStudents[[#This Row],[Writing Score]])</f>
        <v>75</v>
      </c>
      <c r="J26">
        <f>IF(tblStudents[[#This Row],[Average Score]]&gt;=60,1,0)</f>
        <v>1</v>
      </c>
      <c r="K26" t="str">
        <f>IF(tblStudents[[#This Row],[Average Score]]&gt;=60,"Pass","At Risk")</f>
        <v>Pass</v>
      </c>
      <c r="L26" t="str" cm="1">
        <f t="array" ref="L26">_xlfn.IFS(tblStudents[[#This Row],[Average Score]]&gt;=80,"High",tblStudents[[#This Row],[Average Score]]&gt;=60,"Meets Standard",TRUE,"At Risk")</f>
        <v>Meets Standard</v>
      </c>
      <c r="M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27" spans="1:13" x14ac:dyDescent="0.25">
      <c r="A27" t="s">
        <v>9</v>
      </c>
      <c r="B27" t="s">
        <v>10</v>
      </c>
      <c r="C27" t="s">
        <v>8</v>
      </c>
      <c r="D27" t="s">
        <v>12</v>
      </c>
      <c r="E27" t="s">
        <v>4</v>
      </c>
      <c r="F27">
        <v>73</v>
      </c>
      <c r="G27">
        <v>74</v>
      </c>
      <c r="H27">
        <v>72</v>
      </c>
      <c r="I27" s="1">
        <f>AVERAGE(tblStudents[[#This Row],[Math Score]],tblStudents[[#This Row],[Reading Score]],tblStudents[[#This Row],[Writing Score]])</f>
        <v>73</v>
      </c>
      <c r="J27">
        <f>IF(tblStudents[[#This Row],[Average Score]]&gt;=60,1,0)</f>
        <v>1</v>
      </c>
      <c r="K27" t="str">
        <f>IF(tblStudents[[#This Row],[Average Score]]&gt;=60,"Pass","At Risk")</f>
        <v>Pass</v>
      </c>
      <c r="L27" t="str" cm="1">
        <f t="array" ref="L27">_xlfn.IFS(tblStudents[[#This Row],[Average Score]]&gt;=80,"High",tblStudents[[#This Row],[Average Score]]&gt;=60,"Meets Standard",TRUE,"At Risk")</f>
        <v>Meets Standard</v>
      </c>
      <c r="M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28" spans="1:13" x14ac:dyDescent="0.25">
      <c r="A28" t="s">
        <v>9</v>
      </c>
      <c r="B28" t="s">
        <v>1</v>
      </c>
      <c r="C28" t="s">
        <v>6</v>
      </c>
      <c r="D28" t="s">
        <v>3</v>
      </c>
      <c r="E28" t="s">
        <v>4</v>
      </c>
      <c r="F28">
        <v>69</v>
      </c>
      <c r="G28">
        <v>54</v>
      </c>
      <c r="H28">
        <v>55</v>
      </c>
      <c r="I28" s="1">
        <f>AVERAGE(tblStudents[[#This Row],[Math Score]],tblStudents[[#This Row],[Reading Score]],tblStudents[[#This Row],[Writing Score]])</f>
        <v>59.333333333333336</v>
      </c>
      <c r="J28">
        <f>IF(tblStudents[[#This Row],[Average Score]]&gt;=60,1,0)</f>
        <v>0</v>
      </c>
      <c r="K28" t="str">
        <f>IF(tblStudents[[#This Row],[Average Score]]&gt;=60,"Pass","At Risk")</f>
        <v>At Risk</v>
      </c>
      <c r="L28" t="str" cm="1">
        <f t="array" ref="L28">_xlfn.IFS(tblStudents[[#This Row],[Average Score]]&gt;=80,"High",tblStudents[[#This Row],[Average Score]]&gt;=60,"Meets Standard",TRUE,"At Risk")</f>
        <v>At Risk</v>
      </c>
      <c r="M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29" spans="1:13" x14ac:dyDescent="0.25">
      <c r="A29" t="s">
        <v>0</v>
      </c>
      <c r="B29" t="s">
        <v>5</v>
      </c>
      <c r="C29" t="s">
        <v>2</v>
      </c>
      <c r="D29" t="s">
        <v>3</v>
      </c>
      <c r="E29" t="s">
        <v>4</v>
      </c>
      <c r="F29">
        <v>67</v>
      </c>
      <c r="G29">
        <v>69</v>
      </c>
      <c r="H29">
        <v>75</v>
      </c>
      <c r="I29" s="1">
        <f>AVERAGE(tblStudents[[#This Row],[Math Score]],tblStudents[[#This Row],[Reading Score]],tblStudents[[#This Row],[Writing Score]])</f>
        <v>70.333333333333329</v>
      </c>
      <c r="J29">
        <f>IF(tblStudents[[#This Row],[Average Score]]&gt;=60,1,0)</f>
        <v>1</v>
      </c>
      <c r="K29" t="str">
        <f>IF(tblStudents[[#This Row],[Average Score]]&gt;=60,"Pass","At Risk")</f>
        <v>Pass</v>
      </c>
      <c r="L29" t="str" cm="1">
        <f t="array" ref="L29">_xlfn.IFS(tblStudents[[#This Row],[Average Score]]&gt;=80,"High",tblStudents[[#This Row],[Average Score]]&gt;=60,"Meets Standard",TRUE,"At Risk")</f>
        <v>Meets Standard</v>
      </c>
      <c r="M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30" spans="1:13" x14ac:dyDescent="0.25">
      <c r="A30" t="s">
        <v>9</v>
      </c>
      <c r="B30" t="s">
        <v>5</v>
      </c>
      <c r="C30" t="s">
        <v>14</v>
      </c>
      <c r="D30" t="s">
        <v>3</v>
      </c>
      <c r="E30" t="s">
        <v>4</v>
      </c>
      <c r="F30">
        <v>70</v>
      </c>
      <c r="G30">
        <v>70</v>
      </c>
      <c r="H30">
        <v>65</v>
      </c>
      <c r="I30" s="1">
        <f>AVERAGE(tblStudents[[#This Row],[Math Score]],tblStudents[[#This Row],[Reading Score]],tblStudents[[#This Row],[Writing Score]])</f>
        <v>68.333333333333329</v>
      </c>
      <c r="J30">
        <f>IF(tblStudents[[#This Row],[Average Score]]&gt;=60,1,0)</f>
        <v>1</v>
      </c>
      <c r="K30" t="str">
        <f>IF(tblStudents[[#This Row],[Average Score]]&gt;=60,"Pass","At Risk")</f>
        <v>Pass</v>
      </c>
      <c r="L30" t="str" cm="1">
        <f t="array" ref="L30">_xlfn.IFS(tblStudents[[#This Row],[Average Score]]&gt;=80,"High",tblStudents[[#This Row],[Average Score]]&gt;=60,"Meets Standard",TRUE,"At Risk")</f>
        <v>Meets Standard</v>
      </c>
      <c r="M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1" spans="1:13" x14ac:dyDescent="0.25">
      <c r="A31" t="s">
        <v>0</v>
      </c>
      <c r="B31" t="s">
        <v>13</v>
      </c>
      <c r="C31" t="s">
        <v>8</v>
      </c>
      <c r="D31" t="s">
        <v>3</v>
      </c>
      <c r="E31" t="s">
        <v>4</v>
      </c>
      <c r="F31">
        <v>62</v>
      </c>
      <c r="G31">
        <v>70</v>
      </c>
      <c r="H31">
        <v>75</v>
      </c>
      <c r="I31" s="1">
        <f>AVERAGE(tblStudents[[#This Row],[Math Score]],tblStudents[[#This Row],[Reading Score]],tblStudents[[#This Row],[Writing Score]])</f>
        <v>69</v>
      </c>
      <c r="J31">
        <f>IF(tblStudents[[#This Row],[Average Score]]&gt;=60,1,0)</f>
        <v>1</v>
      </c>
      <c r="K31" t="str">
        <f>IF(tblStudents[[#This Row],[Average Score]]&gt;=60,"Pass","At Risk")</f>
        <v>Pass</v>
      </c>
      <c r="L31" t="str" cm="1">
        <f t="array" ref="L31">_xlfn.IFS(tblStudents[[#This Row],[Average Score]]&gt;=80,"High",tblStudents[[#This Row],[Average Score]]&gt;=60,"Meets Standard",TRUE,"At Risk")</f>
        <v>Meets Standard</v>
      </c>
      <c r="M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32" spans="1:13" x14ac:dyDescent="0.25">
      <c r="A32" t="s">
        <v>0</v>
      </c>
      <c r="B32" t="s">
        <v>13</v>
      </c>
      <c r="C32" t="s">
        <v>6</v>
      </c>
      <c r="D32" t="s">
        <v>3</v>
      </c>
      <c r="E32" t="s">
        <v>4</v>
      </c>
      <c r="F32">
        <v>69</v>
      </c>
      <c r="G32">
        <v>74</v>
      </c>
      <c r="H32">
        <v>74</v>
      </c>
      <c r="I32" s="1">
        <f>AVERAGE(tblStudents[[#This Row],[Math Score]],tblStudents[[#This Row],[Reading Score]],tblStudents[[#This Row],[Writing Score]])</f>
        <v>72.333333333333329</v>
      </c>
      <c r="J32">
        <f>IF(tblStudents[[#This Row],[Average Score]]&gt;=60,1,0)</f>
        <v>1</v>
      </c>
      <c r="K32" t="str">
        <f>IF(tblStudents[[#This Row],[Average Score]]&gt;=60,"Pass","At Risk")</f>
        <v>Pass</v>
      </c>
      <c r="L32" t="str" cm="1">
        <f t="array" ref="L32">_xlfn.IFS(tblStudents[[#This Row],[Average Score]]&gt;=80,"High",tblStudents[[#This Row],[Average Score]]&gt;=60,"Meets Standard",TRUE,"At Risk")</f>
        <v>Meets Standard</v>
      </c>
      <c r="M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3" spans="1:13" x14ac:dyDescent="0.25">
      <c r="A33" t="s">
        <v>0</v>
      </c>
      <c r="B33" t="s">
        <v>1</v>
      </c>
      <c r="C33" t="s">
        <v>6</v>
      </c>
      <c r="D33" t="s">
        <v>3</v>
      </c>
      <c r="E33" t="s">
        <v>4</v>
      </c>
      <c r="F33">
        <v>63</v>
      </c>
      <c r="G33">
        <v>65</v>
      </c>
      <c r="H33">
        <v>61</v>
      </c>
      <c r="I33" s="1">
        <f>AVERAGE(tblStudents[[#This Row],[Math Score]],tblStudents[[#This Row],[Reading Score]],tblStudents[[#This Row],[Writing Score]])</f>
        <v>63</v>
      </c>
      <c r="J33">
        <f>IF(tblStudents[[#This Row],[Average Score]]&gt;=60,1,0)</f>
        <v>1</v>
      </c>
      <c r="K33" t="str">
        <f>IF(tblStudents[[#This Row],[Average Score]]&gt;=60,"Pass","At Risk")</f>
        <v>Pass</v>
      </c>
      <c r="L33" t="str" cm="1">
        <f t="array" ref="L33">_xlfn.IFS(tblStudents[[#This Row],[Average Score]]&gt;=80,"High",tblStudents[[#This Row],[Average Score]]&gt;=60,"Meets Standard",TRUE,"At Risk")</f>
        <v>Meets Standard</v>
      </c>
      <c r="M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34" spans="1:13" x14ac:dyDescent="0.25">
      <c r="A34" t="s">
        <v>0</v>
      </c>
      <c r="B34" t="s">
        <v>16</v>
      </c>
      <c r="C34" t="s">
        <v>8</v>
      </c>
      <c r="D34" t="s">
        <v>12</v>
      </c>
      <c r="E34" t="s">
        <v>4</v>
      </c>
      <c r="F34">
        <v>56</v>
      </c>
      <c r="G34">
        <v>72</v>
      </c>
      <c r="H34">
        <v>65</v>
      </c>
      <c r="I34" s="1">
        <f>AVERAGE(tblStudents[[#This Row],[Math Score]],tblStudents[[#This Row],[Reading Score]],tblStudents[[#This Row],[Writing Score]])</f>
        <v>64.333333333333329</v>
      </c>
      <c r="J34">
        <f>IF(tblStudents[[#This Row],[Average Score]]&gt;=60,1,0)</f>
        <v>1</v>
      </c>
      <c r="K34" t="str">
        <f>IF(tblStudents[[#This Row],[Average Score]]&gt;=60,"Pass","At Risk")</f>
        <v>Pass</v>
      </c>
      <c r="L34" t="str" cm="1">
        <f t="array" ref="L34">_xlfn.IFS(tblStudents[[#This Row],[Average Score]]&gt;=80,"High",tblStudents[[#This Row],[Average Score]]&gt;=60,"Meets Standard",TRUE,"At Risk")</f>
        <v>Meets Standard</v>
      </c>
      <c r="M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35" spans="1:13" x14ac:dyDescent="0.25">
      <c r="A35" t="s">
        <v>9</v>
      </c>
      <c r="B35" t="s">
        <v>13</v>
      </c>
      <c r="C35" t="s">
        <v>6</v>
      </c>
      <c r="D35" t="s">
        <v>3</v>
      </c>
      <c r="E35" t="s">
        <v>4</v>
      </c>
      <c r="F35">
        <v>40</v>
      </c>
      <c r="G35">
        <v>42</v>
      </c>
      <c r="H35">
        <v>38</v>
      </c>
      <c r="I35" s="1">
        <f>AVERAGE(tblStudents[[#This Row],[Math Score]],tblStudents[[#This Row],[Reading Score]],tblStudents[[#This Row],[Writing Score]])</f>
        <v>40</v>
      </c>
      <c r="J35">
        <f>IF(tblStudents[[#This Row],[Average Score]]&gt;=60,1,0)</f>
        <v>0</v>
      </c>
      <c r="K35" t="str">
        <f>IF(tblStudents[[#This Row],[Average Score]]&gt;=60,"Pass","At Risk")</f>
        <v>At Risk</v>
      </c>
      <c r="L35" t="str" cm="1">
        <f t="array" ref="L35">_xlfn.IFS(tblStudents[[#This Row],[Average Score]]&gt;=80,"High",tblStudents[[#This Row],[Average Score]]&gt;=60,"Meets Standard",TRUE,"At Risk")</f>
        <v>At Risk</v>
      </c>
      <c r="M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36" spans="1:13" x14ac:dyDescent="0.25">
      <c r="A36" t="s">
        <v>9</v>
      </c>
      <c r="B36" t="s">
        <v>16</v>
      </c>
      <c r="C36" t="s">
        <v>6</v>
      </c>
      <c r="D36" t="s">
        <v>3</v>
      </c>
      <c r="E36" t="s">
        <v>4</v>
      </c>
      <c r="F36">
        <v>97</v>
      </c>
      <c r="G36">
        <v>87</v>
      </c>
      <c r="H36">
        <v>82</v>
      </c>
      <c r="I36" s="1">
        <f>AVERAGE(tblStudents[[#This Row],[Math Score]],tblStudents[[#This Row],[Reading Score]],tblStudents[[#This Row],[Writing Score]])</f>
        <v>88.666666666666671</v>
      </c>
      <c r="J36">
        <f>IF(tblStudents[[#This Row],[Average Score]]&gt;=60,1,0)</f>
        <v>1</v>
      </c>
      <c r="K36" t="str">
        <f>IF(tblStudents[[#This Row],[Average Score]]&gt;=60,"Pass","At Risk")</f>
        <v>Pass</v>
      </c>
      <c r="L36" t="str" cm="1">
        <f t="array" ref="L36">_xlfn.IFS(tblStudents[[#This Row],[Average Score]]&gt;=80,"High",tblStudents[[#This Row],[Average Score]]&gt;=60,"Meets Standard",TRUE,"At Risk")</f>
        <v>High</v>
      </c>
      <c r="M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37" spans="1:13" x14ac:dyDescent="0.25">
      <c r="A37" t="s">
        <v>9</v>
      </c>
      <c r="B37" t="s">
        <v>16</v>
      </c>
      <c r="C37" t="s">
        <v>11</v>
      </c>
      <c r="D37" t="s">
        <v>3</v>
      </c>
      <c r="E37" t="s">
        <v>7</v>
      </c>
      <c r="F37">
        <v>81</v>
      </c>
      <c r="G37">
        <v>81</v>
      </c>
      <c r="H37">
        <v>79</v>
      </c>
      <c r="I37" s="1">
        <f>AVERAGE(tblStudents[[#This Row],[Math Score]],tblStudents[[#This Row],[Reading Score]],tblStudents[[#This Row],[Writing Score]])</f>
        <v>80.333333333333329</v>
      </c>
      <c r="J37">
        <f>IF(tblStudents[[#This Row],[Average Score]]&gt;=60,1,0)</f>
        <v>1</v>
      </c>
      <c r="K37" t="str">
        <f>IF(tblStudents[[#This Row],[Average Score]]&gt;=60,"Pass","At Risk")</f>
        <v>Pass</v>
      </c>
      <c r="L37" t="str" cm="1">
        <f t="array" ref="L37">_xlfn.IFS(tblStudents[[#This Row],[Average Score]]&gt;=80,"High",tblStudents[[#This Row],[Average Score]]&gt;=60,"Meets Standard",TRUE,"At Risk")</f>
        <v>High</v>
      </c>
      <c r="M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8" spans="1:13" x14ac:dyDescent="0.25">
      <c r="A38" t="s">
        <v>0</v>
      </c>
      <c r="B38" t="s">
        <v>13</v>
      </c>
      <c r="C38" t="s">
        <v>11</v>
      </c>
      <c r="D38" t="s">
        <v>3</v>
      </c>
      <c r="E38" t="s">
        <v>4</v>
      </c>
      <c r="F38">
        <v>74</v>
      </c>
      <c r="G38">
        <v>81</v>
      </c>
      <c r="H38">
        <v>83</v>
      </c>
      <c r="I38" s="1">
        <f>AVERAGE(tblStudents[[#This Row],[Math Score]],tblStudents[[#This Row],[Reading Score]],tblStudents[[#This Row],[Writing Score]])</f>
        <v>79.333333333333329</v>
      </c>
      <c r="J38">
        <f>IF(tblStudents[[#This Row],[Average Score]]&gt;=60,1,0)</f>
        <v>1</v>
      </c>
      <c r="K38" t="str">
        <f>IF(tblStudents[[#This Row],[Average Score]]&gt;=60,"Pass","At Risk")</f>
        <v>Pass</v>
      </c>
      <c r="L38" t="str" cm="1">
        <f t="array" ref="L38">_xlfn.IFS(tblStudents[[#This Row],[Average Score]]&gt;=80,"High",tblStudents[[#This Row],[Average Score]]&gt;=60,"Meets Standard",TRUE,"At Risk")</f>
        <v>Meets Standard</v>
      </c>
      <c r="M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9" spans="1:13" x14ac:dyDescent="0.25">
      <c r="A39" t="s">
        <v>0</v>
      </c>
      <c r="B39" t="s">
        <v>13</v>
      </c>
      <c r="C39" t="s">
        <v>15</v>
      </c>
      <c r="D39" t="s">
        <v>12</v>
      </c>
      <c r="E39" t="s">
        <v>4</v>
      </c>
      <c r="F39">
        <v>50</v>
      </c>
      <c r="G39">
        <v>64</v>
      </c>
      <c r="H39">
        <v>59</v>
      </c>
      <c r="I39" s="1">
        <f>AVERAGE(tblStudents[[#This Row],[Math Score]],tblStudents[[#This Row],[Reading Score]],tblStudents[[#This Row],[Writing Score]])</f>
        <v>57.666666666666664</v>
      </c>
      <c r="J39">
        <f>IF(tblStudents[[#This Row],[Average Score]]&gt;=60,1,0)</f>
        <v>0</v>
      </c>
      <c r="K39" t="str">
        <f>IF(tblStudents[[#This Row],[Average Score]]&gt;=60,"Pass","At Risk")</f>
        <v>At Risk</v>
      </c>
      <c r="L39" t="str" cm="1">
        <f t="array" ref="L39">_xlfn.IFS(tblStudents[[#This Row],[Average Score]]&gt;=80,"High",tblStudents[[#This Row],[Average Score]]&gt;=60,"Meets Standard",TRUE,"At Risk")</f>
        <v>At Risk</v>
      </c>
      <c r="M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0" spans="1:13" x14ac:dyDescent="0.25">
      <c r="A40" t="s">
        <v>0</v>
      </c>
      <c r="B40" t="s">
        <v>13</v>
      </c>
      <c r="C40" t="s">
        <v>11</v>
      </c>
      <c r="D40" t="s">
        <v>12</v>
      </c>
      <c r="E40" t="s">
        <v>7</v>
      </c>
      <c r="F40">
        <v>75</v>
      </c>
      <c r="G40">
        <v>90</v>
      </c>
      <c r="H40">
        <v>88</v>
      </c>
      <c r="I40" s="1">
        <f>AVERAGE(tblStudents[[#This Row],[Math Score]],tblStudents[[#This Row],[Reading Score]],tblStudents[[#This Row],[Writing Score]])</f>
        <v>84.333333333333329</v>
      </c>
      <c r="J40">
        <f>IF(tblStudents[[#This Row],[Average Score]]&gt;=60,1,0)</f>
        <v>1</v>
      </c>
      <c r="K40" t="str">
        <f>IF(tblStudents[[#This Row],[Average Score]]&gt;=60,"Pass","At Risk")</f>
        <v>Pass</v>
      </c>
      <c r="L40" t="str" cm="1">
        <f t="array" ref="L40">_xlfn.IFS(tblStudents[[#This Row],[Average Score]]&gt;=80,"High",tblStudents[[#This Row],[Average Score]]&gt;=60,"Meets Standard",TRUE,"At Risk")</f>
        <v>High</v>
      </c>
      <c r="M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41" spans="1:13" x14ac:dyDescent="0.25">
      <c r="A41" t="s">
        <v>9</v>
      </c>
      <c r="B41" t="s">
        <v>1</v>
      </c>
      <c r="C41" t="s">
        <v>11</v>
      </c>
      <c r="D41" t="s">
        <v>12</v>
      </c>
      <c r="E41" t="s">
        <v>4</v>
      </c>
      <c r="F41">
        <v>57</v>
      </c>
      <c r="G41">
        <v>56</v>
      </c>
      <c r="H41">
        <v>57</v>
      </c>
      <c r="I41" s="1">
        <f>AVERAGE(tblStudents[[#This Row],[Math Score]],tblStudents[[#This Row],[Reading Score]],tblStudents[[#This Row],[Writing Score]])</f>
        <v>56.666666666666664</v>
      </c>
      <c r="J41">
        <f>IF(tblStudents[[#This Row],[Average Score]]&gt;=60,1,0)</f>
        <v>0</v>
      </c>
      <c r="K41" t="str">
        <f>IF(tblStudents[[#This Row],[Average Score]]&gt;=60,"Pass","At Risk")</f>
        <v>At Risk</v>
      </c>
      <c r="L41" t="str" cm="1">
        <f t="array" ref="L41">_xlfn.IFS(tblStudents[[#This Row],[Average Score]]&gt;=80,"High",tblStudents[[#This Row],[Average Score]]&gt;=60,"Meets Standard",TRUE,"At Risk")</f>
        <v>At Risk</v>
      </c>
      <c r="M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42" spans="1:13" x14ac:dyDescent="0.25">
      <c r="A42" t="s">
        <v>9</v>
      </c>
      <c r="B42" t="s">
        <v>5</v>
      </c>
      <c r="C42" t="s">
        <v>11</v>
      </c>
      <c r="D42" t="s">
        <v>12</v>
      </c>
      <c r="E42" t="s">
        <v>4</v>
      </c>
      <c r="F42">
        <v>55</v>
      </c>
      <c r="G42">
        <v>61</v>
      </c>
      <c r="H42">
        <v>54</v>
      </c>
      <c r="I42" s="1">
        <f>AVERAGE(tblStudents[[#This Row],[Math Score]],tblStudents[[#This Row],[Reading Score]],tblStudents[[#This Row],[Writing Score]])</f>
        <v>56.666666666666664</v>
      </c>
      <c r="J42">
        <f>IF(tblStudents[[#This Row],[Average Score]]&gt;=60,1,0)</f>
        <v>0</v>
      </c>
      <c r="K42" t="str">
        <f>IF(tblStudents[[#This Row],[Average Score]]&gt;=60,"Pass","At Risk")</f>
        <v>At Risk</v>
      </c>
      <c r="L42" t="str" cm="1">
        <f t="array" ref="L42">_xlfn.IFS(tblStudents[[#This Row],[Average Score]]&gt;=80,"High",tblStudents[[#This Row],[Average Score]]&gt;=60,"Meets Standard",TRUE,"At Risk")</f>
        <v>At Risk</v>
      </c>
      <c r="M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3" spans="1:13" x14ac:dyDescent="0.25">
      <c r="A43" t="s">
        <v>0</v>
      </c>
      <c r="B43" t="s">
        <v>5</v>
      </c>
      <c r="C43" t="s">
        <v>11</v>
      </c>
      <c r="D43" t="s">
        <v>3</v>
      </c>
      <c r="E43" t="s">
        <v>4</v>
      </c>
      <c r="F43">
        <v>58</v>
      </c>
      <c r="G43">
        <v>73</v>
      </c>
      <c r="H43">
        <v>68</v>
      </c>
      <c r="I43" s="1">
        <f>AVERAGE(tblStudents[[#This Row],[Math Score]],tblStudents[[#This Row],[Reading Score]],tblStudents[[#This Row],[Writing Score]])</f>
        <v>66.333333333333329</v>
      </c>
      <c r="J43">
        <f>IF(tblStudents[[#This Row],[Average Score]]&gt;=60,1,0)</f>
        <v>1</v>
      </c>
      <c r="K43" t="str">
        <f>IF(tblStudents[[#This Row],[Average Score]]&gt;=60,"Pass","At Risk")</f>
        <v>Pass</v>
      </c>
      <c r="L43" t="str" cm="1">
        <f t="array" ref="L43">_xlfn.IFS(tblStudents[[#This Row],[Average Score]]&gt;=80,"High",tblStudents[[#This Row],[Average Score]]&gt;=60,"Meets Standard",TRUE,"At Risk")</f>
        <v>Meets Standard</v>
      </c>
      <c r="M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44" spans="1:13" x14ac:dyDescent="0.25">
      <c r="A44" t="s">
        <v>0</v>
      </c>
      <c r="B44" t="s">
        <v>1</v>
      </c>
      <c r="C44" t="s">
        <v>11</v>
      </c>
      <c r="D44" t="s">
        <v>3</v>
      </c>
      <c r="E44" t="s">
        <v>4</v>
      </c>
      <c r="F44">
        <v>53</v>
      </c>
      <c r="G44">
        <v>58</v>
      </c>
      <c r="H44">
        <v>65</v>
      </c>
      <c r="I44" s="1">
        <f>AVERAGE(tblStudents[[#This Row],[Math Score]],tblStudents[[#This Row],[Reading Score]],tblStudents[[#This Row],[Writing Score]])</f>
        <v>58.666666666666664</v>
      </c>
      <c r="J44">
        <f>IF(tblStudents[[#This Row],[Average Score]]&gt;=60,1,0)</f>
        <v>0</v>
      </c>
      <c r="K44" t="str">
        <f>IF(tblStudents[[#This Row],[Average Score]]&gt;=60,"Pass","At Risk")</f>
        <v>At Risk</v>
      </c>
      <c r="L44" t="str" cm="1">
        <f t="array" ref="L44">_xlfn.IFS(tblStudents[[#This Row],[Average Score]]&gt;=80,"High",tblStudents[[#This Row],[Average Score]]&gt;=60,"Meets Standard",TRUE,"At Risk")</f>
        <v>At Risk</v>
      </c>
      <c r="M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5" spans="1:13" x14ac:dyDescent="0.25">
      <c r="A45" t="s">
        <v>9</v>
      </c>
      <c r="B45" t="s">
        <v>1</v>
      </c>
      <c r="C45" t="s">
        <v>6</v>
      </c>
      <c r="D45" t="s">
        <v>12</v>
      </c>
      <c r="E45" t="s">
        <v>7</v>
      </c>
      <c r="F45">
        <v>59</v>
      </c>
      <c r="G45">
        <v>65</v>
      </c>
      <c r="H45">
        <v>66</v>
      </c>
      <c r="I45" s="1">
        <f>AVERAGE(tblStudents[[#This Row],[Math Score]],tblStudents[[#This Row],[Reading Score]],tblStudents[[#This Row],[Writing Score]])</f>
        <v>63.333333333333336</v>
      </c>
      <c r="J45">
        <f>IF(tblStudents[[#This Row],[Average Score]]&gt;=60,1,0)</f>
        <v>1</v>
      </c>
      <c r="K45" t="str">
        <f>IF(tblStudents[[#This Row],[Average Score]]&gt;=60,"Pass","At Risk")</f>
        <v>Pass</v>
      </c>
      <c r="L45" t="str" cm="1">
        <f t="array" ref="L45">_xlfn.IFS(tblStudents[[#This Row],[Average Score]]&gt;=80,"High",tblStudents[[#This Row],[Average Score]]&gt;=60,"Meets Standard",TRUE,"At Risk")</f>
        <v>Meets Standard</v>
      </c>
      <c r="M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6" spans="1:13" x14ac:dyDescent="0.25">
      <c r="A46" t="s">
        <v>0</v>
      </c>
      <c r="B46" t="s">
        <v>16</v>
      </c>
      <c r="C46" t="s">
        <v>11</v>
      </c>
      <c r="D46" t="s">
        <v>12</v>
      </c>
      <c r="E46" t="s">
        <v>4</v>
      </c>
      <c r="F46">
        <v>50</v>
      </c>
      <c r="G46">
        <v>56</v>
      </c>
      <c r="H46">
        <v>54</v>
      </c>
      <c r="I46" s="1">
        <f>AVERAGE(tblStudents[[#This Row],[Math Score]],tblStudents[[#This Row],[Reading Score]],tblStudents[[#This Row],[Writing Score]])</f>
        <v>53.333333333333336</v>
      </c>
      <c r="J46">
        <f>IF(tblStudents[[#This Row],[Average Score]]&gt;=60,1,0)</f>
        <v>0</v>
      </c>
      <c r="K46" t="str">
        <f>IF(tblStudents[[#This Row],[Average Score]]&gt;=60,"Pass","At Risk")</f>
        <v>At Risk</v>
      </c>
      <c r="L46" t="str" cm="1">
        <f t="array" ref="L46">_xlfn.IFS(tblStudents[[#This Row],[Average Score]]&gt;=80,"High",tblStudents[[#This Row],[Average Score]]&gt;=60,"Meets Standard",TRUE,"At Risk")</f>
        <v>At Risk</v>
      </c>
      <c r="M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7" spans="1:13" x14ac:dyDescent="0.25">
      <c r="A47" t="s">
        <v>9</v>
      </c>
      <c r="B47" t="s">
        <v>1</v>
      </c>
      <c r="C47" t="s">
        <v>11</v>
      </c>
      <c r="D47" t="s">
        <v>3</v>
      </c>
      <c r="E47" t="s">
        <v>4</v>
      </c>
      <c r="F47">
        <v>65</v>
      </c>
      <c r="G47">
        <v>54</v>
      </c>
      <c r="H47">
        <v>57</v>
      </c>
      <c r="I47" s="1">
        <f>AVERAGE(tblStudents[[#This Row],[Math Score]],tblStudents[[#This Row],[Reading Score]],tblStudents[[#This Row],[Writing Score]])</f>
        <v>58.666666666666664</v>
      </c>
      <c r="J47">
        <f>IF(tblStudents[[#This Row],[Average Score]]&gt;=60,1,0)</f>
        <v>0</v>
      </c>
      <c r="K47" t="str">
        <f>IF(tblStudents[[#This Row],[Average Score]]&gt;=60,"Pass","At Risk")</f>
        <v>At Risk</v>
      </c>
      <c r="L47" t="str" cm="1">
        <f t="array" ref="L47">_xlfn.IFS(tblStudents[[#This Row],[Average Score]]&gt;=80,"High",tblStudents[[#This Row],[Average Score]]&gt;=60,"Meets Standard",TRUE,"At Risk")</f>
        <v>At Risk</v>
      </c>
      <c r="M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8" spans="1:13" x14ac:dyDescent="0.25">
      <c r="A48" t="s">
        <v>0</v>
      </c>
      <c r="B48" t="s">
        <v>10</v>
      </c>
      <c r="C48" t="s">
        <v>11</v>
      </c>
      <c r="D48" t="s">
        <v>3</v>
      </c>
      <c r="E48" t="s">
        <v>7</v>
      </c>
      <c r="F48">
        <v>55</v>
      </c>
      <c r="G48">
        <v>65</v>
      </c>
      <c r="H48">
        <v>62</v>
      </c>
      <c r="I48" s="1">
        <f>AVERAGE(tblStudents[[#This Row],[Math Score]],tblStudents[[#This Row],[Reading Score]],tblStudents[[#This Row],[Writing Score]])</f>
        <v>60.666666666666664</v>
      </c>
      <c r="J48">
        <f>IF(tblStudents[[#This Row],[Average Score]]&gt;=60,1,0)</f>
        <v>1</v>
      </c>
      <c r="K48" t="str">
        <f>IF(tblStudents[[#This Row],[Average Score]]&gt;=60,"Pass","At Risk")</f>
        <v>Pass</v>
      </c>
      <c r="L48" t="str" cm="1">
        <f t="array" ref="L48">_xlfn.IFS(tblStudents[[#This Row],[Average Score]]&gt;=80,"High",tblStudents[[#This Row],[Average Score]]&gt;=60,"Meets Standard",TRUE,"At Risk")</f>
        <v>Meets Standard</v>
      </c>
      <c r="M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9" spans="1:13" x14ac:dyDescent="0.25">
      <c r="A49" t="s">
        <v>0</v>
      </c>
      <c r="B49" t="s">
        <v>5</v>
      </c>
      <c r="C49" t="s">
        <v>14</v>
      </c>
      <c r="D49" t="s">
        <v>3</v>
      </c>
      <c r="E49" t="s">
        <v>4</v>
      </c>
      <c r="F49">
        <v>66</v>
      </c>
      <c r="G49">
        <v>71</v>
      </c>
      <c r="H49">
        <v>76</v>
      </c>
      <c r="I49" s="1">
        <f>AVERAGE(tblStudents[[#This Row],[Math Score]],tblStudents[[#This Row],[Reading Score]],tblStudents[[#This Row],[Writing Score]])</f>
        <v>71</v>
      </c>
      <c r="J49">
        <f>IF(tblStudents[[#This Row],[Average Score]]&gt;=60,1,0)</f>
        <v>1</v>
      </c>
      <c r="K49" t="str">
        <f>IF(tblStudents[[#This Row],[Average Score]]&gt;=60,"Pass","At Risk")</f>
        <v>Pass</v>
      </c>
      <c r="L49" t="str" cm="1">
        <f t="array" ref="L49">_xlfn.IFS(tblStudents[[#This Row],[Average Score]]&gt;=80,"High",tblStudents[[#This Row],[Average Score]]&gt;=60,"Meets Standard",TRUE,"At Risk")</f>
        <v>Meets Standard</v>
      </c>
      <c r="M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0" spans="1:13" x14ac:dyDescent="0.25">
      <c r="A50" t="s">
        <v>0</v>
      </c>
      <c r="B50" t="s">
        <v>13</v>
      </c>
      <c r="C50" t="s">
        <v>11</v>
      </c>
      <c r="D50" t="s">
        <v>12</v>
      </c>
      <c r="E50" t="s">
        <v>7</v>
      </c>
      <c r="F50">
        <v>57</v>
      </c>
      <c r="G50">
        <v>74</v>
      </c>
      <c r="H50">
        <v>76</v>
      </c>
      <c r="I50" s="1">
        <f>AVERAGE(tblStudents[[#This Row],[Math Score]],tblStudents[[#This Row],[Reading Score]],tblStudents[[#This Row],[Writing Score]])</f>
        <v>69</v>
      </c>
      <c r="J50">
        <f>IF(tblStudents[[#This Row],[Average Score]]&gt;=60,1,0)</f>
        <v>1</v>
      </c>
      <c r="K50" t="str">
        <f>IF(tblStudents[[#This Row],[Average Score]]&gt;=60,"Pass","At Risk")</f>
        <v>Pass</v>
      </c>
      <c r="L50" t="str" cm="1">
        <f t="array" ref="L50">_xlfn.IFS(tblStudents[[#This Row],[Average Score]]&gt;=80,"High",tblStudents[[#This Row],[Average Score]]&gt;=60,"Meets Standard",TRUE,"At Risk")</f>
        <v>Meets Standard</v>
      </c>
      <c r="M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51" spans="1:13" x14ac:dyDescent="0.25">
      <c r="A51" t="s">
        <v>9</v>
      </c>
      <c r="B51" t="s">
        <v>5</v>
      </c>
      <c r="C51" t="s">
        <v>14</v>
      </c>
      <c r="D51" t="s">
        <v>3</v>
      </c>
      <c r="E51" t="s">
        <v>7</v>
      </c>
      <c r="F51">
        <v>82</v>
      </c>
      <c r="G51">
        <v>84</v>
      </c>
      <c r="H51">
        <v>82</v>
      </c>
      <c r="I51" s="1">
        <f>AVERAGE(tblStudents[[#This Row],[Math Score]],tblStudents[[#This Row],[Reading Score]],tblStudents[[#This Row],[Writing Score]])</f>
        <v>82.666666666666671</v>
      </c>
      <c r="J51">
        <f>IF(tblStudents[[#This Row],[Average Score]]&gt;=60,1,0)</f>
        <v>1</v>
      </c>
      <c r="K51" t="str">
        <f>IF(tblStudents[[#This Row],[Average Score]]&gt;=60,"Pass","At Risk")</f>
        <v>Pass</v>
      </c>
      <c r="L51" t="str" cm="1">
        <f t="array" ref="L51">_xlfn.IFS(tblStudents[[#This Row],[Average Score]]&gt;=80,"High",tblStudents[[#This Row],[Average Score]]&gt;=60,"Meets Standard",TRUE,"At Risk")</f>
        <v>High</v>
      </c>
      <c r="M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52" spans="1:13" x14ac:dyDescent="0.25">
      <c r="A52" t="s">
        <v>9</v>
      </c>
      <c r="B52" t="s">
        <v>16</v>
      </c>
      <c r="C52" t="s">
        <v>6</v>
      </c>
      <c r="D52" t="s">
        <v>3</v>
      </c>
      <c r="E52" t="s">
        <v>4</v>
      </c>
      <c r="F52">
        <v>53</v>
      </c>
      <c r="G52">
        <v>55</v>
      </c>
      <c r="H52">
        <v>48</v>
      </c>
      <c r="I52" s="1">
        <f>AVERAGE(tblStudents[[#This Row],[Math Score]],tblStudents[[#This Row],[Reading Score]],tblStudents[[#This Row],[Writing Score]])</f>
        <v>52</v>
      </c>
      <c r="J52">
        <f>IF(tblStudents[[#This Row],[Average Score]]&gt;=60,1,0)</f>
        <v>0</v>
      </c>
      <c r="K52" t="str">
        <f>IF(tblStudents[[#This Row],[Average Score]]&gt;=60,"Pass","At Risk")</f>
        <v>At Risk</v>
      </c>
      <c r="L52" t="str" cm="1">
        <f t="array" ref="L52">_xlfn.IFS(tblStudents[[#This Row],[Average Score]]&gt;=80,"High",tblStudents[[#This Row],[Average Score]]&gt;=60,"Meets Standard",TRUE,"At Risk")</f>
        <v>At Risk</v>
      </c>
      <c r="M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3" spans="1:13" x14ac:dyDescent="0.25">
      <c r="A53" t="s">
        <v>9</v>
      </c>
      <c r="B53" t="s">
        <v>16</v>
      </c>
      <c r="C53" t="s">
        <v>11</v>
      </c>
      <c r="D53" t="s">
        <v>12</v>
      </c>
      <c r="E53" t="s">
        <v>7</v>
      </c>
      <c r="F53">
        <v>77</v>
      </c>
      <c r="G53">
        <v>69</v>
      </c>
      <c r="H53">
        <v>68</v>
      </c>
      <c r="I53" s="1">
        <f>AVERAGE(tblStudents[[#This Row],[Math Score]],tblStudents[[#This Row],[Reading Score]],tblStudents[[#This Row],[Writing Score]])</f>
        <v>71.333333333333329</v>
      </c>
      <c r="J53">
        <f>IF(tblStudents[[#This Row],[Average Score]]&gt;=60,1,0)</f>
        <v>1</v>
      </c>
      <c r="K53" t="str">
        <f>IF(tblStudents[[#This Row],[Average Score]]&gt;=60,"Pass","At Risk")</f>
        <v>Pass</v>
      </c>
      <c r="L53" t="str" cm="1">
        <f t="array" ref="L53">_xlfn.IFS(tblStudents[[#This Row],[Average Score]]&gt;=80,"High",tblStudents[[#This Row],[Average Score]]&gt;=60,"Meets Standard",TRUE,"At Risk")</f>
        <v>Meets Standard</v>
      </c>
      <c r="M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54" spans="1:13" x14ac:dyDescent="0.25">
      <c r="A54" t="s">
        <v>9</v>
      </c>
      <c r="B54" t="s">
        <v>5</v>
      </c>
      <c r="C54" t="s">
        <v>6</v>
      </c>
      <c r="D54" t="s">
        <v>3</v>
      </c>
      <c r="E54" t="s">
        <v>4</v>
      </c>
      <c r="F54">
        <v>53</v>
      </c>
      <c r="G54">
        <v>44</v>
      </c>
      <c r="H54">
        <v>42</v>
      </c>
      <c r="I54" s="1">
        <f>AVERAGE(tblStudents[[#This Row],[Math Score]],tblStudents[[#This Row],[Reading Score]],tblStudents[[#This Row],[Writing Score]])</f>
        <v>46.333333333333336</v>
      </c>
      <c r="J54">
        <f>IF(tblStudents[[#This Row],[Average Score]]&gt;=60,1,0)</f>
        <v>0</v>
      </c>
      <c r="K54" t="str">
        <f>IF(tblStudents[[#This Row],[Average Score]]&gt;=60,"Pass","At Risk")</f>
        <v>At Risk</v>
      </c>
      <c r="L54" t="str" cm="1">
        <f t="array" ref="L54">_xlfn.IFS(tblStudents[[#This Row],[Average Score]]&gt;=80,"High",tblStudents[[#This Row],[Average Score]]&gt;=60,"Meets Standard",TRUE,"At Risk")</f>
        <v>At Risk</v>
      </c>
      <c r="M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5" spans="1:13" x14ac:dyDescent="0.25">
      <c r="A55" t="s">
        <v>9</v>
      </c>
      <c r="B55" t="s">
        <v>13</v>
      </c>
      <c r="C55" t="s">
        <v>14</v>
      </c>
      <c r="D55" t="s">
        <v>3</v>
      </c>
      <c r="E55" t="s">
        <v>4</v>
      </c>
      <c r="F55">
        <v>88</v>
      </c>
      <c r="G55">
        <v>78</v>
      </c>
      <c r="H55">
        <v>75</v>
      </c>
      <c r="I55" s="1">
        <f>AVERAGE(tblStudents[[#This Row],[Math Score]],tblStudents[[#This Row],[Reading Score]],tblStudents[[#This Row],[Writing Score]])</f>
        <v>80.333333333333329</v>
      </c>
      <c r="J55">
        <f>IF(tblStudents[[#This Row],[Average Score]]&gt;=60,1,0)</f>
        <v>1</v>
      </c>
      <c r="K55" t="str">
        <f>IF(tblStudents[[#This Row],[Average Score]]&gt;=60,"Pass","At Risk")</f>
        <v>Pass</v>
      </c>
      <c r="L55" t="str" cm="1">
        <f t="array" ref="L55">_xlfn.IFS(tblStudents[[#This Row],[Average Score]]&gt;=80,"High",tblStudents[[#This Row],[Average Score]]&gt;=60,"Meets Standard",TRUE,"At Risk")</f>
        <v>High</v>
      </c>
      <c r="M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56" spans="1:13" x14ac:dyDescent="0.25">
      <c r="A56" t="s">
        <v>0</v>
      </c>
      <c r="B56" t="s">
        <v>5</v>
      </c>
      <c r="C56" t="s">
        <v>15</v>
      </c>
      <c r="D56" t="s">
        <v>12</v>
      </c>
      <c r="E56" t="s">
        <v>7</v>
      </c>
      <c r="F56">
        <v>71</v>
      </c>
      <c r="G56">
        <v>84</v>
      </c>
      <c r="H56">
        <v>87</v>
      </c>
      <c r="I56" s="1">
        <f>AVERAGE(tblStudents[[#This Row],[Math Score]],tblStudents[[#This Row],[Reading Score]],tblStudents[[#This Row],[Writing Score]])</f>
        <v>80.666666666666671</v>
      </c>
      <c r="J56">
        <f>IF(tblStudents[[#This Row],[Average Score]]&gt;=60,1,0)</f>
        <v>1</v>
      </c>
      <c r="K56" t="str">
        <f>IF(tblStudents[[#This Row],[Average Score]]&gt;=60,"Pass","At Risk")</f>
        <v>Pass</v>
      </c>
      <c r="L56" t="str" cm="1">
        <f t="array" ref="L56">_xlfn.IFS(tblStudents[[#This Row],[Average Score]]&gt;=80,"High",tblStudents[[#This Row],[Average Score]]&gt;=60,"Meets Standard",TRUE,"At Risk")</f>
        <v>High</v>
      </c>
      <c r="M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57" spans="1:13" x14ac:dyDescent="0.25">
      <c r="A57" t="s">
        <v>0</v>
      </c>
      <c r="B57" t="s">
        <v>5</v>
      </c>
      <c r="C57" t="s">
        <v>14</v>
      </c>
      <c r="D57" t="s">
        <v>12</v>
      </c>
      <c r="E57" t="s">
        <v>4</v>
      </c>
      <c r="F57">
        <v>33</v>
      </c>
      <c r="G57">
        <v>41</v>
      </c>
      <c r="H57">
        <v>43</v>
      </c>
      <c r="I57" s="1">
        <f>AVERAGE(tblStudents[[#This Row],[Math Score]],tblStudents[[#This Row],[Reading Score]],tblStudents[[#This Row],[Writing Score]])</f>
        <v>39</v>
      </c>
      <c r="J57">
        <f>IF(tblStudents[[#This Row],[Average Score]]&gt;=60,1,0)</f>
        <v>0</v>
      </c>
      <c r="K57" t="str">
        <f>IF(tblStudents[[#This Row],[Average Score]]&gt;=60,"Pass","At Risk")</f>
        <v>At Risk</v>
      </c>
      <c r="L57" t="str" cm="1">
        <f t="array" ref="L57">_xlfn.IFS(tblStudents[[#This Row],[Average Score]]&gt;=80,"High",tblStudents[[#This Row],[Average Score]]&gt;=60,"Meets Standard",TRUE,"At Risk")</f>
        <v>At Risk</v>
      </c>
      <c r="M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8" spans="1:13" x14ac:dyDescent="0.25">
      <c r="A58" t="s">
        <v>0</v>
      </c>
      <c r="B58" t="s">
        <v>16</v>
      </c>
      <c r="C58" t="s">
        <v>11</v>
      </c>
      <c r="D58" t="s">
        <v>3</v>
      </c>
      <c r="E58" t="s">
        <v>7</v>
      </c>
      <c r="F58">
        <v>82</v>
      </c>
      <c r="G58">
        <v>85</v>
      </c>
      <c r="H58">
        <v>86</v>
      </c>
      <c r="I58" s="1">
        <f>AVERAGE(tblStudents[[#This Row],[Math Score]],tblStudents[[#This Row],[Reading Score]],tblStudents[[#This Row],[Writing Score]])</f>
        <v>84.333333333333329</v>
      </c>
      <c r="J58">
        <f>IF(tblStudents[[#This Row],[Average Score]]&gt;=60,1,0)</f>
        <v>1</v>
      </c>
      <c r="K58" t="str">
        <f>IF(tblStudents[[#This Row],[Average Score]]&gt;=60,"Pass","At Risk")</f>
        <v>Pass</v>
      </c>
      <c r="L58" t="str" cm="1">
        <f t="array" ref="L58">_xlfn.IFS(tblStudents[[#This Row],[Average Score]]&gt;=80,"High",tblStudents[[#This Row],[Average Score]]&gt;=60,"Meets Standard",TRUE,"At Risk")</f>
        <v>High</v>
      </c>
      <c r="M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9" spans="1:13" x14ac:dyDescent="0.25">
      <c r="A59" t="s">
        <v>9</v>
      </c>
      <c r="B59" t="s">
        <v>13</v>
      </c>
      <c r="C59" t="s">
        <v>11</v>
      </c>
      <c r="D59" t="s">
        <v>3</v>
      </c>
      <c r="E59" t="s">
        <v>4</v>
      </c>
      <c r="F59">
        <v>52</v>
      </c>
      <c r="G59">
        <v>55</v>
      </c>
      <c r="H59">
        <v>49</v>
      </c>
      <c r="I59" s="1">
        <f>AVERAGE(tblStudents[[#This Row],[Math Score]],tblStudents[[#This Row],[Reading Score]],tblStudents[[#This Row],[Writing Score]])</f>
        <v>52</v>
      </c>
      <c r="J59">
        <f>IF(tblStudents[[#This Row],[Average Score]]&gt;=60,1,0)</f>
        <v>0</v>
      </c>
      <c r="K59" t="str">
        <f>IF(tblStudents[[#This Row],[Average Score]]&gt;=60,"Pass","At Risk")</f>
        <v>At Risk</v>
      </c>
      <c r="L59" t="str" cm="1">
        <f t="array" ref="L59">_xlfn.IFS(tblStudents[[#This Row],[Average Score]]&gt;=80,"High",tblStudents[[#This Row],[Average Score]]&gt;=60,"Meets Standard",TRUE,"At Risk")</f>
        <v>At Risk</v>
      </c>
      <c r="M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0" spans="1:13" x14ac:dyDescent="0.25">
      <c r="A60" t="s">
        <v>9</v>
      </c>
      <c r="B60" t="s">
        <v>13</v>
      </c>
      <c r="C60" t="s">
        <v>6</v>
      </c>
      <c r="D60" t="s">
        <v>3</v>
      </c>
      <c r="E60" t="s">
        <v>7</v>
      </c>
      <c r="F60">
        <v>58</v>
      </c>
      <c r="G60">
        <v>59</v>
      </c>
      <c r="H60">
        <v>58</v>
      </c>
      <c r="I60" s="1">
        <f>AVERAGE(tblStudents[[#This Row],[Math Score]],tblStudents[[#This Row],[Reading Score]],tblStudents[[#This Row],[Writing Score]])</f>
        <v>58.333333333333336</v>
      </c>
      <c r="J60">
        <f>IF(tblStudents[[#This Row],[Average Score]]&gt;=60,1,0)</f>
        <v>0</v>
      </c>
      <c r="K60" t="str">
        <f>IF(tblStudents[[#This Row],[Average Score]]&gt;=60,"Pass","At Risk")</f>
        <v>At Risk</v>
      </c>
      <c r="L60" t="str" cm="1">
        <f t="array" ref="L60">_xlfn.IFS(tblStudents[[#This Row],[Average Score]]&gt;=80,"High",tblStudents[[#This Row],[Average Score]]&gt;=60,"Meets Standard",TRUE,"At Risk")</f>
        <v>At Risk</v>
      </c>
      <c r="M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61" spans="1:13" x14ac:dyDescent="0.25">
      <c r="A61" t="s">
        <v>0</v>
      </c>
      <c r="B61" t="s">
        <v>5</v>
      </c>
      <c r="C61" t="s">
        <v>15</v>
      </c>
      <c r="D61" t="s">
        <v>12</v>
      </c>
      <c r="E61" t="s">
        <v>4</v>
      </c>
      <c r="F61">
        <v>0</v>
      </c>
      <c r="G61">
        <v>17</v>
      </c>
      <c r="H61">
        <v>10</v>
      </c>
      <c r="I61" s="1">
        <f>AVERAGE(tblStudents[[#This Row],[Math Score]],tblStudents[[#This Row],[Reading Score]],tblStudents[[#This Row],[Writing Score]])</f>
        <v>9</v>
      </c>
      <c r="J61">
        <f>IF(tblStudents[[#This Row],[Average Score]]&gt;=60,1,0)</f>
        <v>0</v>
      </c>
      <c r="K61" t="str">
        <f>IF(tblStudents[[#This Row],[Average Score]]&gt;=60,"Pass","At Risk")</f>
        <v>At Risk</v>
      </c>
      <c r="L61" t="str" cm="1">
        <f t="array" ref="L61">_xlfn.IFS(tblStudents[[#This Row],[Average Score]]&gt;=80,"High",tblStudents[[#This Row],[Average Score]]&gt;=60,"Meets Standard",TRUE,"At Risk")</f>
        <v>At Risk</v>
      </c>
      <c r="M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62" spans="1:13" x14ac:dyDescent="0.25">
      <c r="A62" t="s">
        <v>9</v>
      </c>
      <c r="B62" t="s">
        <v>16</v>
      </c>
      <c r="C62" t="s">
        <v>2</v>
      </c>
      <c r="D62" t="s">
        <v>12</v>
      </c>
      <c r="E62" t="s">
        <v>7</v>
      </c>
      <c r="F62">
        <v>79</v>
      </c>
      <c r="G62">
        <v>74</v>
      </c>
      <c r="H62">
        <v>72</v>
      </c>
      <c r="I62" s="1">
        <f>AVERAGE(tblStudents[[#This Row],[Math Score]],tblStudents[[#This Row],[Reading Score]],tblStudents[[#This Row],[Writing Score]])</f>
        <v>75</v>
      </c>
      <c r="J62">
        <f>IF(tblStudents[[#This Row],[Average Score]]&gt;=60,1,0)</f>
        <v>1</v>
      </c>
      <c r="K62" t="str">
        <f>IF(tblStudents[[#This Row],[Average Score]]&gt;=60,"Pass","At Risk")</f>
        <v>Pass</v>
      </c>
      <c r="L62" t="str" cm="1">
        <f t="array" ref="L62">_xlfn.IFS(tblStudents[[#This Row],[Average Score]]&gt;=80,"High",tblStudents[[#This Row],[Average Score]]&gt;=60,"Meets Standard",TRUE,"At Risk")</f>
        <v>Meets Standard</v>
      </c>
      <c r="M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3" spans="1:13" x14ac:dyDescent="0.25">
      <c r="A63" t="s">
        <v>9</v>
      </c>
      <c r="B63" t="s">
        <v>10</v>
      </c>
      <c r="C63" t="s">
        <v>15</v>
      </c>
      <c r="D63" t="s">
        <v>12</v>
      </c>
      <c r="E63" t="s">
        <v>4</v>
      </c>
      <c r="F63">
        <v>39</v>
      </c>
      <c r="G63">
        <v>39</v>
      </c>
      <c r="H63">
        <v>34</v>
      </c>
      <c r="I63" s="1">
        <f>AVERAGE(tblStudents[[#This Row],[Math Score]],tblStudents[[#This Row],[Reading Score]],tblStudents[[#This Row],[Writing Score]])</f>
        <v>37.333333333333336</v>
      </c>
      <c r="J63">
        <f>IF(tblStudents[[#This Row],[Average Score]]&gt;=60,1,0)</f>
        <v>0</v>
      </c>
      <c r="K63" t="str">
        <f>IF(tblStudents[[#This Row],[Average Score]]&gt;=60,"Pass","At Risk")</f>
        <v>At Risk</v>
      </c>
      <c r="L63" t="str" cm="1">
        <f t="array" ref="L63">_xlfn.IFS(tblStudents[[#This Row],[Average Score]]&gt;=80,"High",tblStudents[[#This Row],[Average Score]]&gt;=60,"Meets Standard",TRUE,"At Risk")</f>
        <v>At Risk</v>
      </c>
      <c r="M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4" spans="1:13" x14ac:dyDescent="0.25">
      <c r="A64" t="s">
        <v>9</v>
      </c>
      <c r="B64" t="s">
        <v>10</v>
      </c>
      <c r="C64" t="s">
        <v>11</v>
      </c>
      <c r="D64" t="s">
        <v>12</v>
      </c>
      <c r="E64" t="s">
        <v>4</v>
      </c>
      <c r="F64">
        <v>62</v>
      </c>
      <c r="G64">
        <v>61</v>
      </c>
      <c r="H64">
        <v>55</v>
      </c>
      <c r="I64" s="1">
        <f>AVERAGE(tblStudents[[#This Row],[Math Score]],tblStudents[[#This Row],[Reading Score]],tblStudents[[#This Row],[Writing Score]])</f>
        <v>59.333333333333336</v>
      </c>
      <c r="J64">
        <f>IF(tblStudents[[#This Row],[Average Score]]&gt;=60,1,0)</f>
        <v>0</v>
      </c>
      <c r="K64" t="str">
        <f>IF(tblStudents[[#This Row],[Average Score]]&gt;=60,"Pass","At Risk")</f>
        <v>At Risk</v>
      </c>
      <c r="L64" t="str" cm="1">
        <f t="array" ref="L64">_xlfn.IFS(tblStudents[[#This Row],[Average Score]]&gt;=80,"High",tblStudents[[#This Row],[Average Score]]&gt;=60,"Meets Standard",TRUE,"At Risk")</f>
        <v>At Risk</v>
      </c>
      <c r="M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5" spans="1:13" x14ac:dyDescent="0.25">
      <c r="A65" t="s">
        <v>0</v>
      </c>
      <c r="B65" t="s">
        <v>5</v>
      </c>
      <c r="C65" t="s">
        <v>11</v>
      </c>
      <c r="D65" t="s">
        <v>3</v>
      </c>
      <c r="E65" t="s">
        <v>4</v>
      </c>
      <c r="F65">
        <v>69</v>
      </c>
      <c r="G65">
        <v>80</v>
      </c>
      <c r="H65">
        <v>71</v>
      </c>
      <c r="I65" s="1">
        <f>AVERAGE(tblStudents[[#This Row],[Math Score]],tblStudents[[#This Row],[Reading Score]],tblStudents[[#This Row],[Writing Score]])</f>
        <v>73.333333333333329</v>
      </c>
      <c r="J65">
        <f>IF(tblStudents[[#This Row],[Average Score]]&gt;=60,1,0)</f>
        <v>1</v>
      </c>
      <c r="K65" t="str">
        <f>IF(tblStudents[[#This Row],[Average Score]]&gt;=60,"Pass","At Risk")</f>
        <v>Pass</v>
      </c>
      <c r="L65" t="str" cm="1">
        <f t="array" ref="L65">_xlfn.IFS(tblStudents[[#This Row],[Average Score]]&gt;=80,"High",tblStudents[[#This Row],[Average Score]]&gt;=60,"Meets Standard",TRUE,"At Risk")</f>
        <v>Meets Standard</v>
      </c>
      <c r="M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66" spans="1:13" x14ac:dyDescent="0.25">
      <c r="A66" t="s">
        <v>0</v>
      </c>
      <c r="B66" t="s">
        <v>13</v>
      </c>
      <c r="C66" t="s">
        <v>15</v>
      </c>
      <c r="D66" t="s">
        <v>3</v>
      </c>
      <c r="E66" t="s">
        <v>4</v>
      </c>
      <c r="F66">
        <v>59</v>
      </c>
      <c r="G66">
        <v>58</v>
      </c>
      <c r="H66">
        <v>59</v>
      </c>
      <c r="I66" s="1">
        <f>AVERAGE(tblStudents[[#This Row],[Math Score]],tblStudents[[#This Row],[Reading Score]],tblStudents[[#This Row],[Writing Score]])</f>
        <v>58.666666666666664</v>
      </c>
      <c r="J66">
        <f>IF(tblStudents[[#This Row],[Average Score]]&gt;=60,1,0)</f>
        <v>0</v>
      </c>
      <c r="K66" t="str">
        <f>IF(tblStudents[[#This Row],[Average Score]]&gt;=60,"Pass","At Risk")</f>
        <v>At Risk</v>
      </c>
      <c r="L66" t="str" cm="1">
        <f t="array" ref="L66">_xlfn.IFS(tblStudents[[#This Row],[Average Score]]&gt;=80,"High",tblStudents[[#This Row],[Average Score]]&gt;=60,"Meets Standard",TRUE,"At Risk")</f>
        <v>At Risk</v>
      </c>
      <c r="M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67" spans="1:13" x14ac:dyDescent="0.25">
      <c r="A67" t="s">
        <v>9</v>
      </c>
      <c r="B67" t="s">
        <v>1</v>
      </c>
      <c r="C67" t="s">
        <v>15</v>
      </c>
      <c r="D67" t="s">
        <v>3</v>
      </c>
      <c r="E67" t="s">
        <v>4</v>
      </c>
      <c r="F67">
        <v>67</v>
      </c>
      <c r="G67">
        <v>64</v>
      </c>
      <c r="H67">
        <v>61</v>
      </c>
      <c r="I67" s="1">
        <f>AVERAGE(tblStudents[[#This Row],[Math Score]],tblStudents[[#This Row],[Reading Score]],tblStudents[[#This Row],[Writing Score]])</f>
        <v>64</v>
      </c>
      <c r="J67">
        <f>IF(tblStudents[[#This Row],[Average Score]]&gt;=60,1,0)</f>
        <v>1</v>
      </c>
      <c r="K67" t="str">
        <f>IF(tblStudents[[#This Row],[Average Score]]&gt;=60,"Pass","At Risk")</f>
        <v>Pass</v>
      </c>
      <c r="L67" t="str" cm="1">
        <f t="array" ref="L67">_xlfn.IFS(tblStudents[[#This Row],[Average Score]]&gt;=80,"High",tblStudents[[#This Row],[Average Score]]&gt;=60,"Meets Standard",TRUE,"At Risk")</f>
        <v>Meets Standard</v>
      </c>
      <c r="M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8" spans="1:13" x14ac:dyDescent="0.25">
      <c r="A68" t="s">
        <v>9</v>
      </c>
      <c r="B68" t="s">
        <v>13</v>
      </c>
      <c r="C68" t="s">
        <v>15</v>
      </c>
      <c r="D68" t="s">
        <v>12</v>
      </c>
      <c r="E68" t="s">
        <v>4</v>
      </c>
      <c r="F68">
        <v>45</v>
      </c>
      <c r="G68">
        <v>37</v>
      </c>
      <c r="H68">
        <v>37</v>
      </c>
      <c r="I68" s="1">
        <f>AVERAGE(tblStudents[[#This Row],[Math Score]],tblStudents[[#This Row],[Reading Score]],tblStudents[[#This Row],[Writing Score]])</f>
        <v>39.666666666666664</v>
      </c>
      <c r="J68">
        <f>IF(tblStudents[[#This Row],[Average Score]]&gt;=60,1,0)</f>
        <v>0</v>
      </c>
      <c r="K68" t="str">
        <f>IF(tblStudents[[#This Row],[Average Score]]&gt;=60,"Pass","At Risk")</f>
        <v>At Risk</v>
      </c>
      <c r="L68" t="str" cm="1">
        <f t="array" ref="L68">_xlfn.IFS(tblStudents[[#This Row],[Average Score]]&gt;=80,"High",tblStudents[[#This Row],[Average Score]]&gt;=60,"Meets Standard",TRUE,"At Risk")</f>
        <v>At Risk</v>
      </c>
      <c r="M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9" spans="1:13" x14ac:dyDescent="0.25">
      <c r="A69" t="s">
        <v>0</v>
      </c>
      <c r="B69" t="s">
        <v>5</v>
      </c>
      <c r="C69" t="s">
        <v>6</v>
      </c>
      <c r="D69" t="s">
        <v>3</v>
      </c>
      <c r="E69" t="s">
        <v>4</v>
      </c>
      <c r="F69">
        <v>60</v>
      </c>
      <c r="G69">
        <v>72</v>
      </c>
      <c r="H69">
        <v>74</v>
      </c>
      <c r="I69" s="1">
        <f>AVERAGE(tblStudents[[#This Row],[Math Score]],tblStudents[[#This Row],[Reading Score]],tblStudents[[#This Row],[Writing Score]])</f>
        <v>68.666666666666671</v>
      </c>
      <c r="J69">
        <f>IF(tblStudents[[#This Row],[Average Score]]&gt;=60,1,0)</f>
        <v>1</v>
      </c>
      <c r="K69" t="str">
        <f>IF(tblStudents[[#This Row],[Average Score]]&gt;=60,"Pass","At Risk")</f>
        <v>Pass</v>
      </c>
      <c r="L69" t="str" cm="1">
        <f t="array" ref="L69">_xlfn.IFS(tblStudents[[#This Row],[Average Score]]&gt;=80,"High",tblStudents[[#This Row],[Average Score]]&gt;=60,"Meets Standard",TRUE,"At Risk")</f>
        <v>Meets Standard</v>
      </c>
      <c r="M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70" spans="1:13" x14ac:dyDescent="0.25">
      <c r="A70" t="s">
        <v>9</v>
      </c>
      <c r="B70" t="s">
        <v>1</v>
      </c>
      <c r="C70" t="s">
        <v>11</v>
      </c>
      <c r="D70" t="s">
        <v>12</v>
      </c>
      <c r="E70" t="s">
        <v>4</v>
      </c>
      <c r="F70">
        <v>61</v>
      </c>
      <c r="G70">
        <v>58</v>
      </c>
      <c r="H70">
        <v>56</v>
      </c>
      <c r="I70" s="1">
        <f>AVERAGE(tblStudents[[#This Row],[Math Score]],tblStudents[[#This Row],[Reading Score]],tblStudents[[#This Row],[Writing Score]])</f>
        <v>58.333333333333336</v>
      </c>
      <c r="J70">
        <f>IF(tblStudents[[#This Row],[Average Score]]&gt;=60,1,0)</f>
        <v>0</v>
      </c>
      <c r="K70" t="str">
        <f>IF(tblStudents[[#This Row],[Average Score]]&gt;=60,"Pass","At Risk")</f>
        <v>At Risk</v>
      </c>
      <c r="L70" t="str" cm="1">
        <f t="array" ref="L70">_xlfn.IFS(tblStudents[[#This Row],[Average Score]]&gt;=80,"High",tblStudents[[#This Row],[Average Score]]&gt;=60,"Meets Standard",TRUE,"At Risk")</f>
        <v>At Risk</v>
      </c>
      <c r="M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1" spans="1:13" x14ac:dyDescent="0.25">
      <c r="A71" t="s">
        <v>0</v>
      </c>
      <c r="B71" t="s">
        <v>5</v>
      </c>
      <c r="C71" t="s">
        <v>11</v>
      </c>
      <c r="D71" t="s">
        <v>3</v>
      </c>
      <c r="E71" t="s">
        <v>4</v>
      </c>
      <c r="F71">
        <v>39</v>
      </c>
      <c r="G71">
        <v>64</v>
      </c>
      <c r="H71">
        <v>57</v>
      </c>
      <c r="I71" s="1">
        <f>AVERAGE(tblStudents[[#This Row],[Math Score]],tblStudents[[#This Row],[Reading Score]],tblStudents[[#This Row],[Writing Score]])</f>
        <v>53.333333333333336</v>
      </c>
      <c r="J71">
        <f>IF(tblStudents[[#This Row],[Average Score]]&gt;=60,1,0)</f>
        <v>0</v>
      </c>
      <c r="K71" t="str">
        <f>IF(tblStudents[[#This Row],[Average Score]]&gt;=60,"Pass","At Risk")</f>
        <v>At Risk</v>
      </c>
      <c r="L71" t="str" cm="1">
        <f t="array" ref="L71">_xlfn.IFS(tblStudents[[#This Row],[Average Score]]&gt;=80,"High",tblStudents[[#This Row],[Average Score]]&gt;=60,"Meets Standard",TRUE,"At Risk")</f>
        <v>At Risk</v>
      </c>
      <c r="M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25</v>
      </c>
    </row>
    <row r="72" spans="1:13" x14ac:dyDescent="0.25">
      <c r="A72" t="s">
        <v>0</v>
      </c>
      <c r="B72" t="s">
        <v>13</v>
      </c>
      <c r="C72" t="s">
        <v>6</v>
      </c>
      <c r="D72" t="s">
        <v>12</v>
      </c>
      <c r="E72" t="s">
        <v>7</v>
      </c>
      <c r="F72">
        <v>58</v>
      </c>
      <c r="G72">
        <v>63</v>
      </c>
      <c r="H72">
        <v>73</v>
      </c>
      <c r="I72" s="1">
        <f>AVERAGE(tblStudents[[#This Row],[Math Score]],tblStudents[[#This Row],[Reading Score]],tblStudents[[#This Row],[Writing Score]])</f>
        <v>64.666666666666671</v>
      </c>
      <c r="J72">
        <f>IF(tblStudents[[#This Row],[Average Score]]&gt;=60,1,0)</f>
        <v>1</v>
      </c>
      <c r="K72" t="str">
        <f>IF(tblStudents[[#This Row],[Average Score]]&gt;=60,"Pass","At Risk")</f>
        <v>Pass</v>
      </c>
      <c r="L72" t="str" cm="1">
        <f t="array" ref="L72">_xlfn.IFS(tblStudents[[#This Row],[Average Score]]&gt;=80,"High",tblStudents[[#This Row],[Average Score]]&gt;=60,"Meets Standard",TRUE,"At Risk")</f>
        <v>Meets Standard</v>
      </c>
      <c r="M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73" spans="1:13" x14ac:dyDescent="0.25">
      <c r="A73" t="s">
        <v>9</v>
      </c>
      <c r="B73" t="s">
        <v>13</v>
      </c>
      <c r="C73" t="s">
        <v>6</v>
      </c>
      <c r="D73" t="s">
        <v>3</v>
      </c>
      <c r="E73" t="s">
        <v>7</v>
      </c>
      <c r="F73">
        <v>63</v>
      </c>
      <c r="G73">
        <v>55</v>
      </c>
      <c r="H73">
        <v>63</v>
      </c>
      <c r="I73" s="1">
        <f>AVERAGE(tblStudents[[#This Row],[Math Score]],tblStudents[[#This Row],[Reading Score]],tblStudents[[#This Row],[Writing Score]])</f>
        <v>60.333333333333336</v>
      </c>
      <c r="J73">
        <f>IF(tblStudents[[#This Row],[Average Score]]&gt;=60,1,0)</f>
        <v>1</v>
      </c>
      <c r="K73" t="str">
        <f>IF(tblStudents[[#This Row],[Average Score]]&gt;=60,"Pass","At Risk")</f>
        <v>Pass</v>
      </c>
      <c r="L73" t="str" cm="1">
        <f t="array" ref="L73">_xlfn.IFS(tblStudents[[#This Row],[Average Score]]&gt;=80,"High",tblStudents[[#This Row],[Average Score]]&gt;=60,"Meets Standard",TRUE,"At Risk")</f>
        <v>Meets Standard</v>
      </c>
      <c r="M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4" spans="1:13" x14ac:dyDescent="0.25">
      <c r="A74" t="s">
        <v>0</v>
      </c>
      <c r="B74" t="s">
        <v>10</v>
      </c>
      <c r="C74" t="s">
        <v>11</v>
      </c>
      <c r="D74" t="s">
        <v>12</v>
      </c>
      <c r="E74" t="s">
        <v>4</v>
      </c>
      <c r="F74">
        <v>41</v>
      </c>
      <c r="G74">
        <v>51</v>
      </c>
      <c r="H74">
        <v>48</v>
      </c>
      <c r="I74" s="1">
        <f>AVERAGE(tblStudents[[#This Row],[Math Score]],tblStudents[[#This Row],[Reading Score]],tblStudents[[#This Row],[Writing Score]])</f>
        <v>46.666666666666664</v>
      </c>
      <c r="J74">
        <f>IF(tblStudents[[#This Row],[Average Score]]&gt;=60,1,0)</f>
        <v>0</v>
      </c>
      <c r="K74" t="str">
        <f>IF(tblStudents[[#This Row],[Average Score]]&gt;=60,"Pass","At Risk")</f>
        <v>At Risk</v>
      </c>
      <c r="L74" t="str" cm="1">
        <f t="array" ref="L74">_xlfn.IFS(tblStudents[[#This Row],[Average Score]]&gt;=80,"High",tblStudents[[#This Row],[Average Score]]&gt;=60,"Meets Standard",TRUE,"At Risk")</f>
        <v>At Risk</v>
      </c>
      <c r="M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5" spans="1:13" x14ac:dyDescent="0.25">
      <c r="A75" t="s">
        <v>9</v>
      </c>
      <c r="B75" t="s">
        <v>5</v>
      </c>
      <c r="C75" t="s">
        <v>15</v>
      </c>
      <c r="D75" t="s">
        <v>12</v>
      </c>
      <c r="E75" t="s">
        <v>4</v>
      </c>
      <c r="F75">
        <v>61</v>
      </c>
      <c r="G75">
        <v>57</v>
      </c>
      <c r="H75">
        <v>56</v>
      </c>
      <c r="I75" s="1">
        <f>AVERAGE(tblStudents[[#This Row],[Math Score]],tblStudents[[#This Row],[Reading Score]],tblStudents[[#This Row],[Writing Score]])</f>
        <v>58</v>
      </c>
      <c r="J75">
        <f>IF(tblStudents[[#This Row],[Average Score]]&gt;=60,1,0)</f>
        <v>0</v>
      </c>
      <c r="K75" t="str">
        <f>IF(tblStudents[[#This Row],[Average Score]]&gt;=60,"Pass","At Risk")</f>
        <v>At Risk</v>
      </c>
      <c r="L75" t="str" cm="1">
        <f t="array" ref="L75">_xlfn.IFS(tblStudents[[#This Row],[Average Score]]&gt;=80,"High",tblStudents[[#This Row],[Average Score]]&gt;=60,"Meets Standard",TRUE,"At Risk")</f>
        <v>At Risk</v>
      </c>
      <c r="M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6" spans="1:13" x14ac:dyDescent="0.25">
      <c r="A76" t="s">
        <v>9</v>
      </c>
      <c r="B76" t="s">
        <v>5</v>
      </c>
      <c r="C76" t="s">
        <v>15</v>
      </c>
      <c r="D76" t="s">
        <v>3</v>
      </c>
      <c r="E76" t="s">
        <v>4</v>
      </c>
      <c r="F76">
        <v>49</v>
      </c>
      <c r="G76">
        <v>49</v>
      </c>
      <c r="H76">
        <v>41</v>
      </c>
      <c r="I76" s="1">
        <f>AVERAGE(tblStudents[[#This Row],[Math Score]],tblStudents[[#This Row],[Reading Score]],tblStudents[[#This Row],[Writing Score]])</f>
        <v>46.333333333333336</v>
      </c>
      <c r="J76">
        <f>IF(tblStudents[[#This Row],[Average Score]]&gt;=60,1,0)</f>
        <v>0</v>
      </c>
      <c r="K76" t="str">
        <f>IF(tblStudents[[#This Row],[Average Score]]&gt;=60,"Pass","At Risk")</f>
        <v>At Risk</v>
      </c>
      <c r="L76" t="str" cm="1">
        <f t="array" ref="L76">_xlfn.IFS(tblStudents[[#This Row],[Average Score]]&gt;=80,"High",tblStudents[[#This Row],[Average Score]]&gt;=60,"Meets Standard",TRUE,"At Risk")</f>
        <v>At Risk</v>
      </c>
      <c r="M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7" spans="1:13" x14ac:dyDescent="0.25">
      <c r="A77" t="s">
        <v>9</v>
      </c>
      <c r="B77" t="s">
        <v>1</v>
      </c>
      <c r="C77" t="s">
        <v>11</v>
      </c>
      <c r="D77" t="s">
        <v>12</v>
      </c>
      <c r="E77" t="s">
        <v>4</v>
      </c>
      <c r="F77">
        <v>44</v>
      </c>
      <c r="G77">
        <v>41</v>
      </c>
      <c r="H77">
        <v>38</v>
      </c>
      <c r="I77" s="1">
        <f>AVERAGE(tblStudents[[#This Row],[Math Score]],tblStudents[[#This Row],[Reading Score]],tblStudents[[#This Row],[Writing Score]])</f>
        <v>41</v>
      </c>
      <c r="J77">
        <f>IF(tblStudents[[#This Row],[Average Score]]&gt;=60,1,0)</f>
        <v>0</v>
      </c>
      <c r="K77" t="str">
        <f>IF(tblStudents[[#This Row],[Average Score]]&gt;=60,"Pass","At Risk")</f>
        <v>At Risk</v>
      </c>
      <c r="L77" t="str" cm="1">
        <f t="array" ref="L77">_xlfn.IFS(tblStudents[[#This Row],[Average Score]]&gt;=80,"High",tblStudents[[#This Row],[Average Score]]&gt;=60,"Meets Standard",TRUE,"At Risk")</f>
        <v>At Risk</v>
      </c>
      <c r="M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8" spans="1:13" x14ac:dyDescent="0.25">
      <c r="A78" t="s">
        <v>9</v>
      </c>
      <c r="B78" t="s">
        <v>16</v>
      </c>
      <c r="C78" t="s">
        <v>15</v>
      </c>
      <c r="D78" t="s">
        <v>3</v>
      </c>
      <c r="E78" t="s">
        <v>4</v>
      </c>
      <c r="F78">
        <v>30</v>
      </c>
      <c r="G78">
        <v>26</v>
      </c>
      <c r="H78">
        <v>22</v>
      </c>
      <c r="I78" s="1">
        <f>AVERAGE(tblStudents[[#This Row],[Math Score]],tblStudents[[#This Row],[Reading Score]],tblStudents[[#This Row],[Writing Score]])</f>
        <v>26</v>
      </c>
      <c r="J78">
        <f>IF(tblStudents[[#This Row],[Average Score]]&gt;=60,1,0)</f>
        <v>0</v>
      </c>
      <c r="K78" t="str">
        <f>IF(tblStudents[[#This Row],[Average Score]]&gt;=60,"Pass","At Risk")</f>
        <v>At Risk</v>
      </c>
      <c r="L78" t="str" cm="1">
        <f t="array" ref="L78">_xlfn.IFS(tblStudents[[#This Row],[Average Score]]&gt;=80,"High",tblStudents[[#This Row],[Average Score]]&gt;=60,"Meets Standard",TRUE,"At Risk")</f>
        <v>At Risk</v>
      </c>
      <c r="M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9" spans="1:13" x14ac:dyDescent="0.25">
      <c r="A79" t="s">
        <v>9</v>
      </c>
      <c r="B79" t="s">
        <v>10</v>
      </c>
      <c r="C79" t="s">
        <v>2</v>
      </c>
      <c r="D79" t="s">
        <v>3</v>
      </c>
      <c r="E79" t="s">
        <v>7</v>
      </c>
      <c r="F79">
        <v>80</v>
      </c>
      <c r="G79">
        <v>78</v>
      </c>
      <c r="H79">
        <v>81</v>
      </c>
      <c r="I79" s="1">
        <f>AVERAGE(tblStudents[[#This Row],[Math Score]],tblStudents[[#This Row],[Reading Score]],tblStudents[[#This Row],[Writing Score]])</f>
        <v>79.666666666666671</v>
      </c>
      <c r="J79">
        <f>IF(tblStudents[[#This Row],[Average Score]]&gt;=60,1,0)</f>
        <v>1</v>
      </c>
      <c r="K79" t="str">
        <f>IF(tblStudents[[#This Row],[Average Score]]&gt;=60,"Pass","At Risk")</f>
        <v>Pass</v>
      </c>
      <c r="L79" t="str" cm="1">
        <f t="array" ref="L79">_xlfn.IFS(tblStudents[[#This Row],[Average Score]]&gt;=80,"High",tblStudents[[#This Row],[Average Score]]&gt;=60,"Meets Standard",TRUE,"At Risk")</f>
        <v>Meets Standard</v>
      </c>
      <c r="M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0" spans="1:13" x14ac:dyDescent="0.25">
      <c r="A80" t="s">
        <v>0</v>
      </c>
      <c r="B80" t="s">
        <v>13</v>
      </c>
      <c r="C80" t="s">
        <v>15</v>
      </c>
      <c r="D80" t="s">
        <v>3</v>
      </c>
      <c r="E80" t="s">
        <v>7</v>
      </c>
      <c r="F80">
        <v>61</v>
      </c>
      <c r="G80">
        <v>74</v>
      </c>
      <c r="H80">
        <v>72</v>
      </c>
      <c r="I80" s="1">
        <f>AVERAGE(tblStudents[[#This Row],[Math Score]],tblStudents[[#This Row],[Reading Score]],tblStudents[[#This Row],[Writing Score]])</f>
        <v>69</v>
      </c>
      <c r="J80">
        <f>IF(tblStudents[[#This Row],[Average Score]]&gt;=60,1,0)</f>
        <v>1</v>
      </c>
      <c r="K80" t="str">
        <f>IF(tblStudents[[#This Row],[Average Score]]&gt;=60,"Pass","At Risk")</f>
        <v>Pass</v>
      </c>
      <c r="L80" t="str" cm="1">
        <f t="array" ref="L80">_xlfn.IFS(tblStudents[[#This Row],[Average Score]]&gt;=80,"High",tblStudents[[#This Row],[Average Score]]&gt;=60,"Meets Standard",TRUE,"At Risk")</f>
        <v>Meets Standard</v>
      </c>
      <c r="M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81" spans="1:13" x14ac:dyDescent="0.25">
      <c r="A81" t="s">
        <v>0</v>
      </c>
      <c r="B81" t="s">
        <v>16</v>
      </c>
      <c r="C81" t="s">
        <v>8</v>
      </c>
      <c r="D81" t="s">
        <v>3</v>
      </c>
      <c r="E81" t="s">
        <v>4</v>
      </c>
      <c r="F81">
        <v>62</v>
      </c>
      <c r="G81">
        <v>68</v>
      </c>
      <c r="H81">
        <v>68</v>
      </c>
      <c r="I81" s="1">
        <f>AVERAGE(tblStudents[[#This Row],[Math Score]],tblStudents[[#This Row],[Reading Score]],tblStudents[[#This Row],[Writing Score]])</f>
        <v>66</v>
      </c>
      <c r="J81">
        <f>IF(tblStudents[[#This Row],[Average Score]]&gt;=60,1,0)</f>
        <v>1</v>
      </c>
      <c r="K81" t="str">
        <f>IF(tblStudents[[#This Row],[Average Score]]&gt;=60,"Pass","At Risk")</f>
        <v>Pass</v>
      </c>
      <c r="L81" t="str" cm="1">
        <f t="array" ref="L81">_xlfn.IFS(tblStudents[[#This Row],[Average Score]]&gt;=80,"High",tblStudents[[#This Row],[Average Score]]&gt;=60,"Meets Standard",TRUE,"At Risk")</f>
        <v>Meets Standard</v>
      </c>
      <c r="M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2" spans="1:13" x14ac:dyDescent="0.25">
      <c r="A82" t="s">
        <v>0</v>
      </c>
      <c r="B82" t="s">
        <v>1</v>
      </c>
      <c r="C82" t="s">
        <v>11</v>
      </c>
      <c r="D82" t="s">
        <v>3</v>
      </c>
      <c r="E82" t="s">
        <v>4</v>
      </c>
      <c r="F82">
        <v>47</v>
      </c>
      <c r="G82">
        <v>49</v>
      </c>
      <c r="H82">
        <v>50</v>
      </c>
      <c r="I82" s="1">
        <f>AVERAGE(tblStudents[[#This Row],[Math Score]],tblStudents[[#This Row],[Reading Score]],tblStudents[[#This Row],[Writing Score]])</f>
        <v>48.666666666666664</v>
      </c>
      <c r="J82">
        <f>IF(tblStudents[[#This Row],[Average Score]]&gt;=60,1,0)</f>
        <v>0</v>
      </c>
      <c r="K82" t="str">
        <f>IF(tblStudents[[#This Row],[Average Score]]&gt;=60,"Pass","At Risk")</f>
        <v>At Risk</v>
      </c>
      <c r="L82" t="str" cm="1">
        <f t="array" ref="L82">_xlfn.IFS(tblStudents[[#This Row],[Average Score]]&gt;=80,"High",tblStudents[[#This Row],[Average Score]]&gt;=60,"Meets Standard",TRUE,"At Risk")</f>
        <v>At Risk</v>
      </c>
      <c r="M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3" spans="1:13" x14ac:dyDescent="0.25">
      <c r="A83" t="s">
        <v>9</v>
      </c>
      <c r="B83" t="s">
        <v>1</v>
      </c>
      <c r="C83" t="s">
        <v>14</v>
      </c>
      <c r="D83" t="s">
        <v>12</v>
      </c>
      <c r="E83" t="s">
        <v>4</v>
      </c>
      <c r="F83">
        <v>49</v>
      </c>
      <c r="G83">
        <v>45</v>
      </c>
      <c r="H83">
        <v>45</v>
      </c>
      <c r="I83" s="1">
        <f>AVERAGE(tblStudents[[#This Row],[Math Score]],tblStudents[[#This Row],[Reading Score]],tblStudents[[#This Row],[Writing Score]])</f>
        <v>46.333333333333336</v>
      </c>
      <c r="J83">
        <f>IF(tblStudents[[#This Row],[Average Score]]&gt;=60,1,0)</f>
        <v>0</v>
      </c>
      <c r="K83" t="str">
        <f>IF(tblStudents[[#This Row],[Average Score]]&gt;=60,"Pass","At Risk")</f>
        <v>At Risk</v>
      </c>
      <c r="L83" t="str" cm="1">
        <f t="array" ref="L83">_xlfn.IFS(tblStudents[[#This Row],[Average Score]]&gt;=80,"High",tblStudents[[#This Row],[Average Score]]&gt;=60,"Meets Standard",TRUE,"At Risk")</f>
        <v>At Risk</v>
      </c>
      <c r="M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84" spans="1:13" x14ac:dyDescent="0.25">
      <c r="A84" t="s">
        <v>9</v>
      </c>
      <c r="B84" t="s">
        <v>10</v>
      </c>
      <c r="C84" t="s">
        <v>6</v>
      </c>
      <c r="D84" t="s">
        <v>12</v>
      </c>
      <c r="E84" t="s">
        <v>7</v>
      </c>
      <c r="F84">
        <v>50</v>
      </c>
      <c r="G84">
        <v>47</v>
      </c>
      <c r="H84">
        <v>54</v>
      </c>
      <c r="I84" s="1">
        <f>AVERAGE(tblStudents[[#This Row],[Math Score]],tblStudents[[#This Row],[Reading Score]],tblStudents[[#This Row],[Writing Score]])</f>
        <v>50.333333333333336</v>
      </c>
      <c r="J84">
        <f>IF(tblStudents[[#This Row],[Average Score]]&gt;=60,1,0)</f>
        <v>0</v>
      </c>
      <c r="K84" t="str">
        <f>IF(tblStudents[[#This Row],[Average Score]]&gt;=60,"Pass","At Risk")</f>
        <v>At Risk</v>
      </c>
      <c r="L84" t="str" cm="1">
        <f t="array" ref="L84">_xlfn.IFS(tblStudents[[#This Row],[Average Score]]&gt;=80,"High",tblStudents[[#This Row],[Average Score]]&gt;=60,"Meets Standard",TRUE,"At Risk")</f>
        <v>At Risk</v>
      </c>
      <c r="M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5" spans="1:13" x14ac:dyDescent="0.25">
      <c r="A85" t="s">
        <v>9</v>
      </c>
      <c r="B85" t="s">
        <v>16</v>
      </c>
      <c r="C85" t="s">
        <v>11</v>
      </c>
      <c r="D85" t="s">
        <v>3</v>
      </c>
      <c r="E85" t="s">
        <v>4</v>
      </c>
      <c r="F85">
        <v>72</v>
      </c>
      <c r="G85">
        <v>64</v>
      </c>
      <c r="H85">
        <v>63</v>
      </c>
      <c r="I85" s="1">
        <f>AVERAGE(tblStudents[[#This Row],[Math Score]],tblStudents[[#This Row],[Reading Score]],tblStudents[[#This Row],[Writing Score]])</f>
        <v>66.333333333333329</v>
      </c>
      <c r="J85">
        <f>IF(tblStudents[[#This Row],[Average Score]]&gt;=60,1,0)</f>
        <v>1</v>
      </c>
      <c r="K85" t="str">
        <f>IF(tblStudents[[#This Row],[Average Score]]&gt;=60,"Pass","At Risk")</f>
        <v>Pass</v>
      </c>
      <c r="L85" t="str" cm="1">
        <f t="array" ref="L85">_xlfn.IFS(tblStudents[[#This Row],[Average Score]]&gt;=80,"High",tblStudents[[#This Row],[Average Score]]&gt;=60,"Meets Standard",TRUE,"At Risk")</f>
        <v>Meets Standard</v>
      </c>
      <c r="M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6" spans="1:13" x14ac:dyDescent="0.25">
      <c r="A86" t="s">
        <v>9</v>
      </c>
      <c r="B86" t="s">
        <v>13</v>
      </c>
      <c r="C86" t="s">
        <v>14</v>
      </c>
      <c r="D86" t="s">
        <v>12</v>
      </c>
      <c r="E86" t="s">
        <v>4</v>
      </c>
      <c r="F86">
        <v>42</v>
      </c>
      <c r="G86">
        <v>39</v>
      </c>
      <c r="H86">
        <v>34</v>
      </c>
      <c r="I86" s="1">
        <f>AVERAGE(tblStudents[[#This Row],[Math Score]],tblStudents[[#This Row],[Reading Score]],tblStudents[[#This Row],[Writing Score]])</f>
        <v>38.333333333333336</v>
      </c>
      <c r="J86">
        <f>IF(tblStudents[[#This Row],[Average Score]]&gt;=60,1,0)</f>
        <v>0</v>
      </c>
      <c r="K86" t="str">
        <f>IF(tblStudents[[#This Row],[Average Score]]&gt;=60,"Pass","At Risk")</f>
        <v>At Risk</v>
      </c>
      <c r="L86" t="str" cm="1">
        <f t="array" ref="L86">_xlfn.IFS(tblStudents[[#This Row],[Average Score]]&gt;=80,"High",tblStudents[[#This Row],[Average Score]]&gt;=60,"Meets Standard",TRUE,"At Risk")</f>
        <v>At Risk</v>
      </c>
      <c r="M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87" spans="1:13" x14ac:dyDescent="0.25">
      <c r="A87" t="s">
        <v>0</v>
      </c>
      <c r="B87" t="s">
        <v>5</v>
      </c>
      <c r="C87" t="s">
        <v>6</v>
      </c>
      <c r="D87" t="s">
        <v>3</v>
      </c>
      <c r="E87" t="s">
        <v>4</v>
      </c>
      <c r="F87">
        <v>73</v>
      </c>
      <c r="G87">
        <v>80</v>
      </c>
      <c r="H87">
        <v>82</v>
      </c>
      <c r="I87" s="1">
        <f>AVERAGE(tblStudents[[#This Row],[Math Score]],tblStudents[[#This Row],[Reading Score]],tblStudents[[#This Row],[Writing Score]])</f>
        <v>78.333333333333329</v>
      </c>
      <c r="J87">
        <f>IF(tblStudents[[#This Row],[Average Score]]&gt;=60,1,0)</f>
        <v>1</v>
      </c>
      <c r="K87" t="str">
        <f>IF(tblStudents[[#This Row],[Average Score]]&gt;=60,"Pass","At Risk")</f>
        <v>Pass</v>
      </c>
      <c r="L87" t="str" cm="1">
        <f t="array" ref="L87">_xlfn.IFS(tblStudents[[#This Row],[Average Score]]&gt;=80,"High",tblStudents[[#This Row],[Average Score]]&gt;=60,"Meets Standard",TRUE,"At Risk")</f>
        <v>Meets Standard</v>
      </c>
      <c r="M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8" spans="1:13" x14ac:dyDescent="0.25">
      <c r="A88" t="s">
        <v>0</v>
      </c>
      <c r="B88" t="s">
        <v>5</v>
      </c>
      <c r="C88" t="s">
        <v>6</v>
      </c>
      <c r="D88" t="s">
        <v>12</v>
      </c>
      <c r="E88" t="s">
        <v>4</v>
      </c>
      <c r="F88">
        <v>76</v>
      </c>
      <c r="G88">
        <v>83</v>
      </c>
      <c r="H88">
        <v>88</v>
      </c>
      <c r="I88" s="1">
        <f>AVERAGE(tblStudents[[#This Row],[Math Score]],tblStudents[[#This Row],[Reading Score]],tblStudents[[#This Row],[Writing Score]])</f>
        <v>82.333333333333329</v>
      </c>
      <c r="J88">
        <f>IF(tblStudents[[#This Row],[Average Score]]&gt;=60,1,0)</f>
        <v>1</v>
      </c>
      <c r="K88" t="str">
        <f>IF(tblStudents[[#This Row],[Average Score]]&gt;=60,"Pass","At Risk")</f>
        <v>Pass</v>
      </c>
      <c r="L88" t="str" cm="1">
        <f t="array" ref="L88">_xlfn.IFS(tblStudents[[#This Row],[Average Score]]&gt;=80,"High",tblStudents[[#This Row],[Average Score]]&gt;=60,"Meets Standard",TRUE,"At Risk")</f>
        <v>High</v>
      </c>
      <c r="M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89" spans="1:13" x14ac:dyDescent="0.25">
      <c r="A89" t="s">
        <v>0</v>
      </c>
      <c r="B89" t="s">
        <v>13</v>
      </c>
      <c r="C89" t="s">
        <v>11</v>
      </c>
      <c r="D89" t="s">
        <v>3</v>
      </c>
      <c r="E89" t="s">
        <v>4</v>
      </c>
      <c r="F89">
        <v>71</v>
      </c>
      <c r="G89">
        <v>71</v>
      </c>
      <c r="H89">
        <v>74</v>
      </c>
      <c r="I89" s="1">
        <f>AVERAGE(tblStudents[[#This Row],[Math Score]],tblStudents[[#This Row],[Reading Score]],tblStudents[[#This Row],[Writing Score]])</f>
        <v>72</v>
      </c>
      <c r="J89">
        <f>IF(tblStudents[[#This Row],[Average Score]]&gt;=60,1,0)</f>
        <v>1</v>
      </c>
      <c r="K89" t="str">
        <f>IF(tblStudents[[#This Row],[Average Score]]&gt;=60,"Pass","At Risk")</f>
        <v>Pass</v>
      </c>
      <c r="L89" t="str" cm="1">
        <f t="array" ref="L89">_xlfn.IFS(tblStudents[[#This Row],[Average Score]]&gt;=80,"High",tblStudents[[#This Row],[Average Score]]&gt;=60,"Meets Standard",TRUE,"At Risk")</f>
        <v>Meets Standard</v>
      </c>
      <c r="M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90" spans="1:13" x14ac:dyDescent="0.25">
      <c r="A90" t="s">
        <v>0</v>
      </c>
      <c r="B90" t="s">
        <v>10</v>
      </c>
      <c r="C90" t="s">
        <v>6</v>
      </c>
      <c r="D90" t="s">
        <v>3</v>
      </c>
      <c r="E90" t="s">
        <v>4</v>
      </c>
      <c r="F90">
        <v>58</v>
      </c>
      <c r="G90">
        <v>70</v>
      </c>
      <c r="H90">
        <v>67</v>
      </c>
      <c r="I90" s="1">
        <f>AVERAGE(tblStudents[[#This Row],[Math Score]],tblStudents[[#This Row],[Reading Score]],tblStudents[[#This Row],[Writing Score]])</f>
        <v>65</v>
      </c>
      <c r="J90">
        <f>IF(tblStudents[[#This Row],[Average Score]]&gt;=60,1,0)</f>
        <v>1</v>
      </c>
      <c r="K90" t="str">
        <f>IF(tblStudents[[#This Row],[Average Score]]&gt;=60,"Pass","At Risk")</f>
        <v>Pass</v>
      </c>
      <c r="L90" t="str" cm="1">
        <f t="array" ref="L90">_xlfn.IFS(tblStudents[[#This Row],[Average Score]]&gt;=80,"High",tblStudents[[#This Row],[Average Score]]&gt;=60,"Meets Standard",TRUE,"At Risk")</f>
        <v>Meets Standard</v>
      </c>
      <c r="M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91" spans="1:13" x14ac:dyDescent="0.25">
      <c r="A91" t="s">
        <v>0</v>
      </c>
      <c r="B91" t="s">
        <v>13</v>
      </c>
      <c r="C91" t="s">
        <v>15</v>
      </c>
      <c r="D91" t="s">
        <v>3</v>
      </c>
      <c r="E91" t="s">
        <v>4</v>
      </c>
      <c r="F91">
        <v>73</v>
      </c>
      <c r="G91">
        <v>86</v>
      </c>
      <c r="H91">
        <v>82</v>
      </c>
      <c r="I91" s="1">
        <f>AVERAGE(tblStudents[[#This Row],[Math Score]],tblStudents[[#This Row],[Reading Score]],tblStudents[[#This Row],[Writing Score]])</f>
        <v>80.333333333333329</v>
      </c>
      <c r="J91">
        <f>IF(tblStudents[[#This Row],[Average Score]]&gt;=60,1,0)</f>
        <v>1</v>
      </c>
      <c r="K91" t="str">
        <f>IF(tblStudents[[#This Row],[Average Score]]&gt;=60,"Pass","At Risk")</f>
        <v>Pass</v>
      </c>
      <c r="L91" t="str" cm="1">
        <f t="array" ref="L91">_xlfn.IFS(tblStudents[[#This Row],[Average Score]]&gt;=80,"High",tblStudents[[#This Row],[Average Score]]&gt;=60,"Meets Standard",TRUE,"At Risk")</f>
        <v>High</v>
      </c>
      <c r="M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92" spans="1:13" x14ac:dyDescent="0.25">
      <c r="A92" t="s">
        <v>0</v>
      </c>
      <c r="B92" t="s">
        <v>5</v>
      </c>
      <c r="C92" t="s">
        <v>2</v>
      </c>
      <c r="D92" t="s">
        <v>3</v>
      </c>
      <c r="E92" t="s">
        <v>4</v>
      </c>
      <c r="F92">
        <v>65</v>
      </c>
      <c r="G92">
        <v>72</v>
      </c>
      <c r="H92">
        <v>74</v>
      </c>
      <c r="I92" s="1">
        <f>AVERAGE(tblStudents[[#This Row],[Math Score]],tblStudents[[#This Row],[Reading Score]],tblStudents[[#This Row],[Writing Score]])</f>
        <v>70.333333333333329</v>
      </c>
      <c r="J92">
        <f>IF(tblStudents[[#This Row],[Average Score]]&gt;=60,1,0)</f>
        <v>1</v>
      </c>
      <c r="K92" t="str">
        <f>IF(tblStudents[[#This Row],[Average Score]]&gt;=60,"Pass","At Risk")</f>
        <v>Pass</v>
      </c>
      <c r="L92" t="str" cm="1">
        <f t="array" ref="L92">_xlfn.IFS(tblStudents[[#This Row],[Average Score]]&gt;=80,"High",tblStudents[[#This Row],[Average Score]]&gt;=60,"Meets Standard",TRUE,"At Risk")</f>
        <v>Meets Standard</v>
      </c>
      <c r="M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3" spans="1:13" x14ac:dyDescent="0.25">
      <c r="A93" t="s">
        <v>9</v>
      </c>
      <c r="B93" t="s">
        <v>5</v>
      </c>
      <c r="C93" t="s">
        <v>14</v>
      </c>
      <c r="D93" t="s">
        <v>12</v>
      </c>
      <c r="E93" t="s">
        <v>4</v>
      </c>
      <c r="F93">
        <v>27</v>
      </c>
      <c r="G93">
        <v>34</v>
      </c>
      <c r="H93">
        <v>36</v>
      </c>
      <c r="I93" s="1">
        <f>AVERAGE(tblStudents[[#This Row],[Math Score]],tblStudents[[#This Row],[Reading Score]],tblStudents[[#This Row],[Writing Score]])</f>
        <v>32.333333333333336</v>
      </c>
      <c r="J93">
        <f>IF(tblStudents[[#This Row],[Average Score]]&gt;=60,1,0)</f>
        <v>0</v>
      </c>
      <c r="K93" t="str">
        <f>IF(tblStudents[[#This Row],[Average Score]]&gt;=60,"Pass","At Risk")</f>
        <v>At Risk</v>
      </c>
      <c r="L93" t="str" cm="1">
        <f t="array" ref="L93">_xlfn.IFS(tblStudents[[#This Row],[Average Score]]&gt;=80,"High",tblStudents[[#This Row],[Average Score]]&gt;=60,"Meets Standard",TRUE,"At Risk")</f>
        <v>At Risk</v>
      </c>
      <c r="M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4" spans="1:13" x14ac:dyDescent="0.25">
      <c r="A94" t="s">
        <v>9</v>
      </c>
      <c r="B94" t="s">
        <v>5</v>
      </c>
      <c r="C94" t="s">
        <v>14</v>
      </c>
      <c r="D94" t="s">
        <v>3</v>
      </c>
      <c r="E94" t="s">
        <v>4</v>
      </c>
      <c r="F94">
        <v>71</v>
      </c>
      <c r="G94">
        <v>79</v>
      </c>
      <c r="H94">
        <v>71</v>
      </c>
      <c r="I94" s="1">
        <f>AVERAGE(tblStudents[[#This Row],[Math Score]],tblStudents[[#This Row],[Reading Score]],tblStudents[[#This Row],[Writing Score]])</f>
        <v>73.666666666666671</v>
      </c>
      <c r="J94">
        <f>IF(tblStudents[[#This Row],[Average Score]]&gt;=60,1,0)</f>
        <v>1</v>
      </c>
      <c r="K94" t="str">
        <f>IF(tblStudents[[#This Row],[Average Score]]&gt;=60,"Pass","At Risk")</f>
        <v>Pass</v>
      </c>
      <c r="L94" t="str" cm="1">
        <f t="array" ref="L94">_xlfn.IFS(tblStudents[[#This Row],[Average Score]]&gt;=80,"High",tblStudents[[#This Row],[Average Score]]&gt;=60,"Meets Standard",TRUE,"At Risk")</f>
        <v>Meets Standard</v>
      </c>
      <c r="M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5" spans="1:13" x14ac:dyDescent="0.25">
      <c r="A95" t="s">
        <v>9</v>
      </c>
      <c r="B95" t="s">
        <v>5</v>
      </c>
      <c r="C95" t="s">
        <v>11</v>
      </c>
      <c r="D95" t="s">
        <v>12</v>
      </c>
      <c r="E95" t="s">
        <v>7</v>
      </c>
      <c r="F95">
        <v>43</v>
      </c>
      <c r="G95">
        <v>45</v>
      </c>
      <c r="H95">
        <v>50</v>
      </c>
      <c r="I95" s="1">
        <f>AVERAGE(tblStudents[[#This Row],[Math Score]],tblStudents[[#This Row],[Reading Score]],tblStudents[[#This Row],[Writing Score]])</f>
        <v>46</v>
      </c>
      <c r="J95">
        <f>IF(tblStudents[[#This Row],[Average Score]]&gt;=60,1,0)</f>
        <v>0</v>
      </c>
      <c r="K95" t="str">
        <f>IF(tblStudents[[#This Row],[Average Score]]&gt;=60,"Pass","At Risk")</f>
        <v>At Risk</v>
      </c>
      <c r="L95" t="str" cm="1">
        <f t="array" ref="L95">_xlfn.IFS(tblStudents[[#This Row],[Average Score]]&gt;=80,"High",tblStudents[[#This Row],[Average Score]]&gt;=60,"Meets Standard",TRUE,"At Risk")</f>
        <v>At Risk</v>
      </c>
      <c r="M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6" spans="1:13" x14ac:dyDescent="0.25">
      <c r="A96" t="s">
        <v>0</v>
      </c>
      <c r="B96" t="s">
        <v>1</v>
      </c>
      <c r="C96" t="s">
        <v>6</v>
      </c>
      <c r="D96" t="s">
        <v>3</v>
      </c>
      <c r="E96" t="s">
        <v>4</v>
      </c>
      <c r="F96">
        <v>79</v>
      </c>
      <c r="G96">
        <v>86</v>
      </c>
      <c r="H96">
        <v>92</v>
      </c>
      <c r="I96" s="1">
        <f>AVERAGE(tblStudents[[#This Row],[Math Score]],tblStudents[[#This Row],[Reading Score]],tblStudents[[#This Row],[Writing Score]])</f>
        <v>85.666666666666671</v>
      </c>
      <c r="J96">
        <f>IF(tblStudents[[#This Row],[Average Score]]&gt;=60,1,0)</f>
        <v>1</v>
      </c>
      <c r="K96" t="str">
        <f>IF(tblStudents[[#This Row],[Average Score]]&gt;=60,"Pass","At Risk")</f>
        <v>Pass</v>
      </c>
      <c r="L96" t="str" cm="1">
        <f t="array" ref="L96">_xlfn.IFS(tblStudents[[#This Row],[Average Score]]&gt;=80,"High",tblStudents[[#This Row],[Average Score]]&gt;=60,"Meets Standard",TRUE,"At Risk")</f>
        <v>High</v>
      </c>
      <c r="M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97" spans="1:13" x14ac:dyDescent="0.25">
      <c r="A97" t="s">
        <v>9</v>
      </c>
      <c r="B97" t="s">
        <v>5</v>
      </c>
      <c r="C97" t="s">
        <v>11</v>
      </c>
      <c r="D97" t="s">
        <v>12</v>
      </c>
      <c r="E97" t="s">
        <v>7</v>
      </c>
      <c r="F97">
        <v>78</v>
      </c>
      <c r="G97">
        <v>81</v>
      </c>
      <c r="H97">
        <v>82</v>
      </c>
      <c r="I97" s="1">
        <f>AVERAGE(tblStudents[[#This Row],[Math Score]],tblStudents[[#This Row],[Reading Score]],tblStudents[[#This Row],[Writing Score]])</f>
        <v>80.333333333333329</v>
      </c>
      <c r="J97">
        <f>IF(tblStudents[[#This Row],[Average Score]]&gt;=60,1,0)</f>
        <v>1</v>
      </c>
      <c r="K97" t="str">
        <f>IF(tblStudents[[#This Row],[Average Score]]&gt;=60,"Pass","At Risk")</f>
        <v>Pass</v>
      </c>
      <c r="L97" t="str" cm="1">
        <f t="array" ref="L97">_xlfn.IFS(tblStudents[[#This Row],[Average Score]]&gt;=80,"High",tblStudents[[#This Row],[Average Score]]&gt;=60,"Meets Standard",TRUE,"At Risk")</f>
        <v>High</v>
      </c>
      <c r="M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98" spans="1:13" x14ac:dyDescent="0.25">
      <c r="A98" t="s">
        <v>9</v>
      </c>
      <c r="B98" t="s">
        <v>1</v>
      </c>
      <c r="C98" t="s">
        <v>15</v>
      </c>
      <c r="D98" t="s">
        <v>3</v>
      </c>
      <c r="E98" t="s">
        <v>7</v>
      </c>
      <c r="F98">
        <v>65</v>
      </c>
      <c r="G98">
        <v>66</v>
      </c>
      <c r="H98">
        <v>62</v>
      </c>
      <c r="I98" s="1">
        <f>AVERAGE(tblStudents[[#This Row],[Math Score]],tblStudents[[#This Row],[Reading Score]],tblStudents[[#This Row],[Writing Score]])</f>
        <v>64.333333333333329</v>
      </c>
      <c r="J98">
        <f>IF(tblStudents[[#This Row],[Average Score]]&gt;=60,1,0)</f>
        <v>1</v>
      </c>
      <c r="K98" t="str">
        <f>IF(tblStudents[[#This Row],[Average Score]]&gt;=60,"Pass","At Risk")</f>
        <v>Pass</v>
      </c>
      <c r="L98" t="str" cm="1">
        <f t="array" ref="L98">_xlfn.IFS(tblStudents[[#This Row],[Average Score]]&gt;=80,"High",tblStudents[[#This Row],[Average Score]]&gt;=60,"Meets Standard",TRUE,"At Risk")</f>
        <v>Meets Standard</v>
      </c>
      <c r="M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99" spans="1:13" x14ac:dyDescent="0.25">
      <c r="A99" t="s">
        <v>0</v>
      </c>
      <c r="B99" t="s">
        <v>16</v>
      </c>
      <c r="C99" t="s">
        <v>6</v>
      </c>
      <c r="D99" t="s">
        <v>3</v>
      </c>
      <c r="E99" t="s">
        <v>7</v>
      </c>
      <c r="F99">
        <v>63</v>
      </c>
      <c r="G99">
        <v>72</v>
      </c>
      <c r="H99">
        <v>70</v>
      </c>
      <c r="I99" s="1">
        <f>AVERAGE(tblStudents[[#This Row],[Math Score]],tblStudents[[#This Row],[Reading Score]],tblStudents[[#This Row],[Writing Score]])</f>
        <v>68.333333333333329</v>
      </c>
      <c r="J99">
        <f>IF(tblStudents[[#This Row],[Average Score]]&gt;=60,1,0)</f>
        <v>1</v>
      </c>
      <c r="K99" t="str">
        <f>IF(tblStudents[[#This Row],[Average Score]]&gt;=60,"Pass","At Risk")</f>
        <v>Pass</v>
      </c>
      <c r="L99" t="str" cm="1">
        <f t="array" ref="L99">_xlfn.IFS(tblStudents[[#This Row],[Average Score]]&gt;=80,"High",tblStudents[[#This Row],[Average Score]]&gt;=60,"Meets Standard",TRUE,"At Risk")</f>
        <v>Meets Standard</v>
      </c>
      <c r="M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100" spans="1:13" x14ac:dyDescent="0.25">
      <c r="A100" t="s">
        <v>0</v>
      </c>
      <c r="B100" t="s">
        <v>13</v>
      </c>
      <c r="C100" t="s">
        <v>6</v>
      </c>
      <c r="D100" t="s">
        <v>12</v>
      </c>
      <c r="E100" t="s">
        <v>4</v>
      </c>
      <c r="F100">
        <v>58</v>
      </c>
      <c r="G100">
        <v>67</v>
      </c>
      <c r="H100">
        <v>62</v>
      </c>
      <c r="I100" s="1">
        <f>AVERAGE(tblStudents[[#This Row],[Math Score]],tblStudents[[#This Row],[Reading Score]],tblStudents[[#This Row],[Writing Score]])</f>
        <v>62.333333333333336</v>
      </c>
      <c r="J100">
        <f>IF(tblStudents[[#This Row],[Average Score]]&gt;=60,1,0)</f>
        <v>1</v>
      </c>
      <c r="K100" t="str">
        <f>IF(tblStudents[[#This Row],[Average Score]]&gt;=60,"Pass","At Risk")</f>
        <v>Pass</v>
      </c>
      <c r="L100" t="str" cm="1">
        <f t="array" ref="L100">_xlfn.IFS(tblStudents[[#This Row],[Average Score]]&gt;=80,"High",tblStudents[[#This Row],[Average Score]]&gt;=60,"Meets Standard",TRUE,"At Risk")</f>
        <v>Meets Standard</v>
      </c>
      <c r="M1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101" spans="1:13" x14ac:dyDescent="0.25">
      <c r="A101" t="s">
        <v>0</v>
      </c>
      <c r="B101" t="s">
        <v>13</v>
      </c>
      <c r="C101" t="s">
        <v>2</v>
      </c>
      <c r="D101" t="s">
        <v>3</v>
      </c>
      <c r="E101" t="s">
        <v>4</v>
      </c>
      <c r="F101">
        <v>65</v>
      </c>
      <c r="G101">
        <v>67</v>
      </c>
      <c r="H101">
        <v>62</v>
      </c>
      <c r="I101" s="1">
        <f>AVERAGE(tblStudents[[#This Row],[Math Score]],tblStudents[[#This Row],[Reading Score]],tblStudents[[#This Row],[Writing Score]])</f>
        <v>64.666666666666671</v>
      </c>
      <c r="J101">
        <f>IF(tblStudents[[#This Row],[Average Score]]&gt;=60,1,0)</f>
        <v>1</v>
      </c>
      <c r="K101" t="str">
        <f>IF(tblStudents[[#This Row],[Average Score]]&gt;=60,"Pass","At Risk")</f>
        <v>Pass</v>
      </c>
      <c r="L101" t="str" cm="1">
        <f t="array" ref="L101">_xlfn.IFS(tblStudents[[#This Row],[Average Score]]&gt;=80,"High",tblStudents[[#This Row],[Average Score]]&gt;=60,"Meets Standard",TRUE,"At Risk")</f>
        <v>Meets Standard</v>
      </c>
      <c r="M1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02" spans="1:13" x14ac:dyDescent="0.25">
      <c r="A102" t="s">
        <v>9</v>
      </c>
      <c r="B102" t="s">
        <v>1</v>
      </c>
      <c r="C102" t="s">
        <v>6</v>
      </c>
      <c r="D102" t="s">
        <v>3</v>
      </c>
      <c r="E102" t="s">
        <v>4</v>
      </c>
      <c r="F102">
        <v>79</v>
      </c>
      <c r="G102">
        <v>67</v>
      </c>
      <c r="H102">
        <v>67</v>
      </c>
      <c r="I102" s="1">
        <f>AVERAGE(tblStudents[[#This Row],[Math Score]],tblStudents[[#This Row],[Reading Score]],tblStudents[[#This Row],[Writing Score]])</f>
        <v>71</v>
      </c>
      <c r="J102">
        <f>IF(tblStudents[[#This Row],[Average Score]]&gt;=60,1,0)</f>
        <v>1</v>
      </c>
      <c r="K102" t="str">
        <f>IF(tblStudents[[#This Row],[Average Score]]&gt;=60,"Pass","At Risk")</f>
        <v>Pass</v>
      </c>
      <c r="L102" t="str" cm="1">
        <f t="array" ref="L102">_xlfn.IFS(tblStudents[[#This Row],[Average Score]]&gt;=80,"High",tblStudents[[#This Row],[Average Score]]&gt;=60,"Meets Standard",TRUE,"At Risk")</f>
        <v>Meets Standard</v>
      </c>
      <c r="M1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03" spans="1:13" x14ac:dyDescent="0.25">
      <c r="A103" t="s">
        <v>9</v>
      </c>
      <c r="B103" t="s">
        <v>13</v>
      </c>
      <c r="C103" t="s">
        <v>2</v>
      </c>
      <c r="D103" t="s">
        <v>3</v>
      </c>
      <c r="E103" t="s">
        <v>7</v>
      </c>
      <c r="F103">
        <v>68</v>
      </c>
      <c r="G103">
        <v>74</v>
      </c>
      <c r="H103">
        <v>74</v>
      </c>
      <c r="I103" s="1">
        <f>AVERAGE(tblStudents[[#This Row],[Math Score]],tblStudents[[#This Row],[Reading Score]],tblStudents[[#This Row],[Writing Score]])</f>
        <v>72</v>
      </c>
      <c r="J103">
        <f>IF(tblStudents[[#This Row],[Average Score]]&gt;=60,1,0)</f>
        <v>1</v>
      </c>
      <c r="K103" t="str">
        <f>IF(tblStudents[[#This Row],[Average Score]]&gt;=60,"Pass","At Risk")</f>
        <v>Pass</v>
      </c>
      <c r="L103" t="str" cm="1">
        <f t="array" ref="L103">_xlfn.IFS(tblStudents[[#This Row],[Average Score]]&gt;=80,"High",tblStudents[[#This Row],[Average Score]]&gt;=60,"Meets Standard",TRUE,"At Risk")</f>
        <v>Meets Standard</v>
      </c>
      <c r="M1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104" spans="1:13" x14ac:dyDescent="0.25">
      <c r="A104" t="s">
        <v>0</v>
      </c>
      <c r="B104" t="s">
        <v>13</v>
      </c>
      <c r="C104" t="s">
        <v>11</v>
      </c>
      <c r="D104" t="s">
        <v>3</v>
      </c>
      <c r="E104" t="s">
        <v>4</v>
      </c>
      <c r="F104">
        <v>85</v>
      </c>
      <c r="G104">
        <v>91</v>
      </c>
      <c r="H104">
        <v>89</v>
      </c>
      <c r="I104" s="1">
        <f>AVERAGE(tblStudents[[#This Row],[Math Score]],tblStudents[[#This Row],[Reading Score]],tblStudents[[#This Row],[Writing Score]])</f>
        <v>88.333333333333329</v>
      </c>
      <c r="J104">
        <f>IF(tblStudents[[#This Row],[Average Score]]&gt;=60,1,0)</f>
        <v>1</v>
      </c>
      <c r="K104" t="str">
        <f>IF(tblStudents[[#This Row],[Average Score]]&gt;=60,"Pass","At Risk")</f>
        <v>Pass</v>
      </c>
      <c r="L104" t="str" cm="1">
        <f t="array" ref="L104">_xlfn.IFS(tblStudents[[#This Row],[Average Score]]&gt;=80,"High",tblStudents[[#This Row],[Average Score]]&gt;=60,"Meets Standard",TRUE,"At Risk")</f>
        <v>High</v>
      </c>
      <c r="M1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105" spans="1:13" x14ac:dyDescent="0.25">
      <c r="A105" t="s">
        <v>9</v>
      </c>
      <c r="B105" t="s">
        <v>1</v>
      </c>
      <c r="C105" t="s">
        <v>14</v>
      </c>
      <c r="D105" t="s">
        <v>3</v>
      </c>
      <c r="E105" t="s">
        <v>7</v>
      </c>
      <c r="F105">
        <v>60</v>
      </c>
      <c r="G105">
        <v>44</v>
      </c>
      <c r="H105">
        <v>47</v>
      </c>
      <c r="I105" s="1">
        <f>AVERAGE(tblStudents[[#This Row],[Math Score]],tblStudents[[#This Row],[Reading Score]],tblStudents[[#This Row],[Writing Score]])</f>
        <v>50.333333333333336</v>
      </c>
      <c r="J105">
        <f>IF(tblStudents[[#This Row],[Average Score]]&gt;=60,1,0)</f>
        <v>0</v>
      </c>
      <c r="K105" t="str">
        <f>IF(tblStudents[[#This Row],[Average Score]]&gt;=60,"Pass","At Risk")</f>
        <v>At Risk</v>
      </c>
      <c r="L105" t="str" cm="1">
        <f t="array" ref="L105">_xlfn.IFS(tblStudents[[#This Row],[Average Score]]&gt;=80,"High",tblStudents[[#This Row],[Average Score]]&gt;=60,"Meets Standard",TRUE,"At Risk")</f>
        <v>At Risk</v>
      </c>
      <c r="M1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106" spans="1:13" x14ac:dyDescent="0.25">
      <c r="A106" t="s">
        <v>9</v>
      </c>
      <c r="B106" t="s">
        <v>5</v>
      </c>
      <c r="C106" t="s">
        <v>6</v>
      </c>
      <c r="D106" t="s">
        <v>3</v>
      </c>
      <c r="E106" t="s">
        <v>7</v>
      </c>
      <c r="F106">
        <v>98</v>
      </c>
      <c r="G106">
        <v>86</v>
      </c>
      <c r="H106">
        <v>90</v>
      </c>
      <c r="I106" s="1">
        <f>AVERAGE(tblStudents[[#This Row],[Math Score]],tblStudents[[#This Row],[Reading Score]],tblStudents[[#This Row],[Writing Score]])</f>
        <v>91.333333333333329</v>
      </c>
      <c r="J106">
        <f>IF(tblStudents[[#This Row],[Average Score]]&gt;=60,1,0)</f>
        <v>1</v>
      </c>
      <c r="K106" t="str">
        <f>IF(tblStudents[[#This Row],[Average Score]]&gt;=60,"Pass","At Risk")</f>
        <v>Pass</v>
      </c>
      <c r="L106" t="str" cm="1">
        <f t="array" ref="L106">_xlfn.IFS(tblStudents[[#This Row],[Average Score]]&gt;=80,"High",tblStudents[[#This Row],[Average Score]]&gt;=60,"Meets Standard",TRUE,"At Risk")</f>
        <v>High</v>
      </c>
      <c r="M1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07" spans="1:13" x14ac:dyDescent="0.25">
      <c r="A107" t="s">
        <v>0</v>
      </c>
      <c r="B107" t="s">
        <v>5</v>
      </c>
      <c r="C107" t="s">
        <v>6</v>
      </c>
      <c r="D107" t="s">
        <v>3</v>
      </c>
      <c r="E107" t="s">
        <v>4</v>
      </c>
      <c r="F107">
        <v>58</v>
      </c>
      <c r="G107">
        <v>67</v>
      </c>
      <c r="H107">
        <v>72</v>
      </c>
      <c r="I107" s="1">
        <f>AVERAGE(tblStudents[[#This Row],[Math Score]],tblStudents[[#This Row],[Reading Score]],tblStudents[[#This Row],[Writing Score]])</f>
        <v>65.666666666666671</v>
      </c>
      <c r="J107">
        <f>IF(tblStudents[[#This Row],[Average Score]]&gt;=60,1,0)</f>
        <v>1</v>
      </c>
      <c r="K107" t="str">
        <f>IF(tblStudents[[#This Row],[Average Score]]&gt;=60,"Pass","At Risk")</f>
        <v>Pass</v>
      </c>
      <c r="L107" t="str" cm="1">
        <f t="array" ref="L107">_xlfn.IFS(tblStudents[[#This Row],[Average Score]]&gt;=80,"High",tblStudents[[#This Row],[Average Score]]&gt;=60,"Meets Standard",TRUE,"At Risk")</f>
        <v>Meets Standard</v>
      </c>
      <c r="M1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108" spans="1:13" x14ac:dyDescent="0.25">
      <c r="A108" t="s">
        <v>0</v>
      </c>
      <c r="B108" t="s">
        <v>13</v>
      </c>
      <c r="C108" t="s">
        <v>8</v>
      </c>
      <c r="D108" t="s">
        <v>3</v>
      </c>
      <c r="E108" t="s">
        <v>4</v>
      </c>
      <c r="F108">
        <v>87</v>
      </c>
      <c r="G108">
        <v>100</v>
      </c>
      <c r="H108">
        <v>100</v>
      </c>
      <c r="I108" s="1">
        <f>AVERAGE(tblStudents[[#This Row],[Math Score]],tblStudents[[#This Row],[Reading Score]],tblStudents[[#This Row],[Writing Score]])</f>
        <v>95.666666666666671</v>
      </c>
      <c r="J108">
        <f>IF(tblStudents[[#This Row],[Average Score]]&gt;=60,1,0)</f>
        <v>1</v>
      </c>
      <c r="K108" t="str">
        <f>IF(tblStudents[[#This Row],[Average Score]]&gt;=60,"Pass","At Risk")</f>
        <v>Pass</v>
      </c>
      <c r="L108" t="str" cm="1">
        <f t="array" ref="L108">_xlfn.IFS(tblStudents[[#This Row],[Average Score]]&gt;=80,"High",tblStudents[[#This Row],[Average Score]]&gt;=60,"Meets Standard",TRUE,"At Risk")</f>
        <v>High</v>
      </c>
      <c r="M1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09" spans="1:13" x14ac:dyDescent="0.25">
      <c r="A109" t="s">
        <v>9</v>
      </c>
      <c r="B109" t="s">
        <v>16</v>
      </c>
      <c r="C109" t="s">
        <v>11</v>
      </c>
      <c r="D109" t="s">
        <v>3</v>
      </c>
      <c r="E109" t="s">
        <v>7</v>
      </c>
      <c r="F109">
        <v>66</v>
      </c>
      <c r="G109">
        <v>63</v>
      </c>
      <c r="H109">
        <v>64</v>
      </c>
      <c r="I109" s="1">
        <f>AVERAGE(tblStudents[[#This Row],[Math Score]],tblStudents[[#This Row],[Reading Score]],tblStudents[[#This Row],[Writing Score]])</f>
        <v>64.333333333333329</v>
      </c>
      <c r="J109">
        <f>IF(tblStudents[[#This Row],[Average Score]]&gt;=60,1,0)</f>
        <v>1</v>
      </c>
      <c r="K109" t="str">
        <f>IF(tblStudents[[#This Row],[Average Score]]&gt;=60,"Pass","At Risk")</f>
        <v>Pass</v>
      </c>
      <c r="L109" t="str" cm="1">
        <f t="array" ref="L109">_xlfn.IFS(tblStudents[[#This Row],[Average Score]]&gt;=80,"High",tblStudents[[#This Row],[Average Score]]&gt;=60,"Meets Standard",TRUE,"At Risk")</f>
        <v>Meets Standard</v>
      </c>
      <c r="M1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110" spans="1:13" x14ac:dyDescent="0.25">
      <c r="A110" t="s">
        <v>0</v>
      </c>
      <c r="B110" t="s">
        <v>1</v>
      </c>
      <c r="C110" t="s">
        <v>11</v>
      </c>
      <c r="D110" t="s">
        <v>12</v>
      </c>
      <c r="E110" t="s">
        <v>4</v>
      </c>
      <c r="F110">
        <v>52</v>
      </c>
      <c r="G110">
        <v>76</v>
      </c>
      <c r="H110">
        <v>70</v>
      </c>
      <c r="I110" s="1">
        <f>AVERAGE(tblStudents[[#This Row],[Math Score]],tblStudents[[#This Row],[Reading Score]],tblStudents[[#This Row],[Writing Score]])</f>
        <v>66</v>
      </c>
      <c r="J110">
        <f>IF(tblStudents[[#This Row],[Average Score]]&gt;=60,1,0)</f>
        <v>1</v>
      </c>
      <c r="K110" t="str">
        <f>IF(tblStudents[[#This Row],[Average Score]]&gt;=60,"Pass","At Risk")</f>
        <v>Pass</v>
      </c>
      <c r="L110" t="str" cm="1">
        <f t="array" ref="L110">_xlfn.IFS(tblStudents[[#This Row],[Average Score]]&gt;=80,"High",tblStudents[[#This Row],[Average Score]]&gt;=60,"Meets Standard",TRUE,"At Risk")</f>
        <v>Meets Standard</v>
      </c>
      <c r="M1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24</v>
      </c>
    </row>
    <row r="111" spans="1:13" x14ac:dyDescent="0.25">
      <c r="A111" t="s">
        <v>0</v>
      </c>
      <c r="B111" t="s">
        <v>1</v>
      </c>
      <c r="C111" t="s">
        <v>15</v>
      </c>
      <c r="D111" t="s">
        <v>3</v>
      </c>
      <c r="E111" t="s">
        <v>4</v>
      </c>
      <c r="F111">
        <v>70</v>
      </c>
      <c r="G111">
        <v>64</v>
      </c>
      <c r="H111">
        <v>72</v>
      </c>
      <c r="I111" s="1">
        <f>AVERAGE(tblStudents[[#This Row],[Math Score]],tblStudents[[#This Row],[Reading Score]],tblStudents[[#This Row],[Writing Score]])</f>
        <v>68.666666666666671</v>
      </c>
      <c r="J111">
        <f>IF(tblStudents[[#This Row],[Average Score]]&gt;=60,1,0)</f>
        <v>1</v>
      </c>
      <c r="K111" t="str">
        <f>IF(tblStudents[[#This Row],[Average Score]]&gt;=60,"Pass","At Risk")</f>
        <v>Pass</v>
      </c>
      <c r="L111" t="str" cm="1">
        <f t="array" ref="L111">_xlfn.IFS(tblStudents[[#This Row],[Average Score]]&gt;=80,"High",tblStudents[[#This Row],[Average Score]]&gt;=60,"Meets Standard",TRUE,"At Risk")</f>
        <v>Meets Standard</v>
      </c>
      <c r="M1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12" spans="1:13" x14ac:dyDescent="0.25">
      <c r="A112" t="s">
        <v>0</v>
      </c>
      <c r="B112" t="s">
        <v>13</v>
      </c>
      <c r="C112" t="s">
        <v>11</v>
      </c>
      <c r="D112" t="s">
        <v>12</v>
      </c>
      <c r="E112" t="s">
        <v>7</v>
      </c>
      <c r="F112">
        <v>77</v>
      </c>
      <c r="G112">
        <v>89</v>
      </c>
      <c r="H112">
        <v>98</v>
      </c>
      <c r="I112" s="1">
        <f>AVERAGE(tblStudents[[#This Row],[Math Score]],tblStudents[[#This Row],[Reading Score]],tblStudents[[#This Row],[Writing Score]])</f>
        <v>88</v>
      </c>
      <c r="J112">
        <f>IF(tblStudents[[#This Row],[Average Score]]&gt;=60,1,0)</f>
        <v>1</v>
      </c>
      <c r="K112" t="str">
        <f>IF(tblStudents[[#This Row],[Average Score]]&gt;=60,"Pass","At Risk")</f>
        <v>Pass</v>
      </c>
      <c r="L112" t="str" cm="1">
        <f t="array" ref="L112">_xlfn.IFS(tblStudents[[#This Row],[Average Score]]&gt;=80,"High",tblStudents[[#This Row],[Average Score]]&gt;=60,"Meets Standard",TRUE,"At Risk")</f>
        <v>High</v>
      </c>
      <c r="M1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113" spans="1:13" x14ac:dyDescent="0.25">
      <c r="A113" t="s">
        <v>9</v>
      </c>
      <c r="B113" t="s">
        <v>5</v>
      </c>
      <c r="C113" t="s">
        <v>14</v>
      </c>
      <c r="D113" t="s">
        <v>3</v>
      </c>
      <c r="E113" t="s">
        <v>4</v>
      </c>
      <c r="F113">
        <v>62</v>
      </c>
      <c r="G113">
        <v>55</v>
      </c>
      <c r="H113">
        <v>49</v>
      </c>
      <c r="I113" s="1">
        <f>AVERAGE(tblStudents[[#This Row],[Math Score]],tblStudents[[#This Row],[Reading Score]],tblStudents[[#This Row],[Writing Score]])</f>
        <v>55.333333333333336</v>
      </c>
      <c r="J113">
        <f>IF(tblStudents[[#This Row],[Average Score]]&gt;=60,1,0)</f>
        <v>0</v>
      </c>
      <c r="K113" t="str">
        <f>IF(tblStudents[[#This Row],[Average Score]]&gt;=60,"Pass","At Risk")</f>
        <v>At Risk</v>
      </c>
      <c r="L113" t="str" cm="1">
        <f t="array" ref="L113">_xlfn.IFS(tblStudents[[#This Row],[Average Score]]&gt;=80,"High",tblStudents[[#This Row],[Average Score]]&gt;=60,"Meets Standard",TRUE,"At Risk")</f>
        <v>At Risk</v>
      </c>
      <c r="M1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14" spans="1:13" x14ac:dyDescent="0.25">
      <c r="A114" t="s">
        <v>9</v>
      </c>
      <c r="B114" t="s">
        <v>10</v>
      </c>
      <c r="C114" t="s">
        <v>11</v>
      </c>
      <c r="D114" t="s">
        <v>3</v>
      </c>
      <c r="E114" t="s">
        <v>4</v>
      </c>
      <c r="F114">
        <v>54</v>
      </c>
      <c r="G114">
        <v>53</v>
      </c>
      <c r="H114">
        <v>47</v>
      </c>
      <c r="I114" s="1">
        <f>AVERAGE(tblStudents[[#This Row],[Math Score]],tblStudents[[#This Row],[Reading Score]],tblStudents[[#This Row],[Writing Score]])</f>
        <v>51.333333333333336</v>
      </c>
      <c r="J114">
        <f>IF(tblStudents[[#This Row],[Average Score]]&gt;=60,1,0)</f>
        <v>0</v>
      </c>
      <c r="K114" t="str">
        <f>IF(tblStudents[[#This Row],[Average Score]]&gt;=60,"Pass","At Risk")</f>
        <v>At Risk</v>
      </c>
      <c r="L114" t="str" cm="1">
        <f t="array" ref="L114">_xlfn.IFS(tblStudents[[#This Row],[Average Score]]&gt;=80,"High",tblStudents[[#This Row],[Average Score]]&gt;=60,"Meets Standard",TRUE,"At Risk")</f>
        <v>At Risk</v>
      </c>
      <c r="M1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15" spans="1:13" x14ac:dyDescent="0.25">
      <c r="A115" t="s">
        <v>0</v>
      </c>
      <c r="B115" t="s">
        <v>13</v>
      </c>
      <c r="C115" t="s">
        <v>6</v>
      </c>
      <c r="D115" t="s">
        <v>3</v>
      </c>
      <c r="E115" t="s">
        <v>4</v>
      </c>
      <c r="F115">
        <v>51</v>
      </c>
      <c r="G115">
        <v>58</v>
      </c>
      <c r="H115">
        <v>54</v>
      </c>
      <c r="I115" s="1">
        <f>AVERAGE(tblStudents[[#This Row],[Math Score]],tblStudents[[#This Row],[Reading Score]],tblStudents[[#This Row],[Writing Score]])</f>
        <v>54.333333333333336</v>
      </c>
      <c r="J115">
        <f>IF(tblStudents[[#This Row],[Average Score]]&gt;=60,1,0)</f>
        <v>0</v>
      </c>
      <c r="K115" t="str">
        <f>IF(tblStudents[[#This Row],[Average Score]]&gt;=60,"Pass","At Risk")</f>
        <v>At Risk</v>
      </c>
      <c r="L115" t="str" cm="1">
        <f t="array" ref="L115">_xlfn.IFS(tblStudents[[#This Row],[Average Score]]&gt;=80,"High",tblStudents[[#This Row],[Average Score]]&gt;=60,"Meets Standard",TRUE,"At Risk")</f>
        <v>At Risk</v>
      </c>
      <c r="M1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16" spans="1:13" x14ac:dyDescent="0.25">
      <c r="A116" t="s">
        <v>0</v>
      </c>
      <c r="B116" t="s">
        <v>16</v>
      </c>
      <c r="C116" t="s">
        <v>2</v>
      </c>
      <c r="D116" t="s">
        <v>3</v>
      </c>
      <c r="E116" t="s">
        <v>7</v>
      </c>
      <c r="F116">
        <v>99</v>
      </c>
      <c r="G116">
        <v>100</v>
      </c>
      <c r="H116">
        <v>100</v>
      </c>
      <c r="I116" s="1">
        <f>AVERAGE(tblStudents[[#This Row],[Math Score]],tblStudents[[#This Row],[Reading Score]],tblStudents[[#This Row],[Writing Score]])</f>
        <v>99.666666666666671</v>
      </c>
      <c r="J116">
        <f>IF(tblStudents[[#This Row],[Average Score]]&gt;=60,1,0)</f>
        <v>1</v>
      </c>
      <c r="K116" t="str">
        <f>IF(tblStudents[[#This Row],[Average Score]]&gt;=60,"Pass","At Risk")</f>
        <v>Pass</v>
      </c>
      <c r="L116" t="str" cm="1">
        <f t="array" ref="L116">_xlfn.IFS(tblStudents[[#This Row],[Average Score]]&gt;=80,"High",tblStudents[[#This Row],[Average Score]]&gt;=60,"Meets Standard",TRUE,"At Risk")</f>
        <v>High</v>
      </c>
      <c r="M1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117" spans="1:13" x14ac:dyDescent="0.25">
      <c r="A117" t="s">
        <v>9</v>
      </c>
      <c r="B117" t="s">
        <v>5</v>
      </c>
      <c r="C117" t="s">
        <v>14</v>
      </c>
      <c r="D117" t="s">
        <v>3</v>
      </c>
      <c r="E117" t="s">
        <v>4</v>
      </c>
      <c r="F117">
        <v>84</v>
      </c>
      <c r="G117">
        <v>77</v>
      </c>
      <c r="H117">
        <v>74</v>
      </c>
      <c r="I117" s="1">
        <f>AVERAGE(tblStudents[[#This Row],[Math Score]],tblStudents[[#This Row],[Reading Score]],tblStudents[[#This Row],[Writing Score]])</f>
        <v>78.333333333333329</v>
      </c>
      <c r="J117">
        <f>IF(tblStudents[[#This Row],[Average Score]]&gt;=60,1,0)</f>
        <v>1</v>
      </c>
      <c r="K117" t="str">
        <f>IF(tblStudents[[#This Row],[Average Score]]&gt;=60,"Pass","At Risk")</f>
        <v>Pass</v>
      </c>
      <c r="L117" t="str" cm="1">
        <f t="array" ref="L117">_xlfn.IFS(tblStudents[[#This Row],[Average Score]]&gt;=80,"High",tblStudents[[#This Row],[Average Score]]&gt;=60,"Meets Standard",TRUE,"At Risk")</f>
        <v>Meets Standard</v>
      </c>
      <c r="M1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18" spans="1:13" x14ac:dyDescent="0.25">
      <c r="A118" t="s">
        <v>0</v>
      </c>
      <c r="B118" t="s">
        <v>1</v>
      </c>
      <c r="C118" t="s">
        <v>2</v>
      </c>
      <c r="D118" t="s">
        <v>12</v>
      </c>
      <c r="E118" t="s">
        <v>4</v>
      </c>
      <c r="F118">
        <v>75</v>
      </c>
      <c r="G118">
        <v>85</v>
      </c>
      <c r="H118">
        <v>82</v>
      </c>
      <c r="I118" s="1">
        <f>AVERAGE(tblStudents[[#This Row],[Math Score]],tblStudents[[#This Row],[Reading Score]],tblStudents[[#This Row],[Writing Score]])</f>
        <v>80.666666666666671</v>
      </c>
      <c r="J118">
        <f>IF(tblStudents[[#This Row],[Average Score]]&gt;=60,1,0)</f>
        <v>1</v>
      </c>
      <c r="K118" t="str">
        <f>IF(tblStudents[[#This Row],[Average Score]]&gt;=60,"Pass","At Risk")</f>
        <v>Pass</v>
      </c>
      <c r="L118" t="str" cm="1">
        <f t="array" ref="L118">_xlfn.IFS(tblStudents[[#This Row],[Average Score]]&gt;=80,"High",tblStudents[[#This Row],[Average Score]]&gt;=60,"Meets Standard",TRUE,"At Risk")</f>
        <v>High</v>
      </c>
      <c r="M1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19" spans="1:13" x14ac:dyDescent="0.25">
      <c r="A119" t="s">
        <v>0</v>
      </c>
      <c r="B119" t="s">
        <v>13</v>
      </c>
      <c r="C119" t="s">
        <v>2</v>
      </c>
      <c r="D119" t="s">
        <v>3</v>
      </c>
      <c r="E119" t="s">
        <v>4</v>
      </c>
      <c r="F119">
        <v>78</v>
      </c>
      <c r="G119">
        <v>82</v>
      </c>
      <c r="H119">
        <v>79</v>
      </c>
      <c r="I119" s="1">
        <f>AVERAGE(tblStudents[[#This Row],[Math Score]],tblStudents[[#This Row],[Reading Score]],tblStudents[[#This Row],[Writing Score]])</f>
        <v>79.666666666666671</v>
      </c>
      <c r="J119">
        <f>IF(tblStudents[[#This Row],[Average Score]]&gt;=60,1,0)</f>
        <v>1</v>
      </c>
      <c r="K119" t="str">
        <f>IF(tblStudents[[#This Row],[Average Score]]&gt;=60,"Pass","At Risk")</f>
        <v>Pass</v>
      </c>
      <c r="L119" t="str" cm="1">
        <f t="array" ref="L119">_xlfn.IFS(tblStudents[[#This Row],[Average Score]]&gt;=80,"High",tblStudents[[#This Row],[Average Score]]&gt;=60,"Meets Standard",TRUE,"At Risk")</f>
        <v>Meets Standard</v>
      </c>
      <c r="M1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20" spans="1:13" x14ac:dyDescent="0.25">
      <c r="A120" t="s">
        <v>0</v>
      </c>
      <c r="B120" t="s">
        <v>13</v>
      </c>
      <c r="C120" t="s">
        <v>15</v>
      </c>
      <c r="D120" t="s">
        <v>3</v>
      </c>
      <c r="E120" t="s">
        <v>4</v>
      </c>
      <c r="F120">
        <v>51</v>
      </c>
      <c r="G120">
        <v>63</v>
      </c>
      <c r="H120">
        <v>61</v>
      </c>
      <c r="I120" s="1">
        <f>AVERAGE(tblStudents[[#This Row],[Math Score]],tblStudents[[#This Row],[Reading Score]],tblStudents[[#This Row],[Writing Score]])</f>
        <v>58.333333333333336</v>
      </c>
      <c r="J120">
        <f>IF(tblStudents[[#This Row],[Average Score]]&gt;=60,1,0)</f>
        <v>0</v>
      </c>
      <c r="K120" t="str">
        <f>IF(tblStudents[[#This Row],[Average Score]]&gt;=60,"Pass","At Risk")</f>
        <v>At Risk</v>
      </c>
      <c r="L120" t="str" cm="1">
        <f t="array" ref="L120">_xlfn.IFS(tblStudents[[#This Row],[Average Score]]&gt;=80,"High",tblStudents[[#This Row],[Average Score]]&gt;=60,"Meets Standard",TRUE,"At Risk")</f>
        <v>At Risk</v>
      </c>
      <c r="M1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21" spans="1:13" x14ac:dyDescent="0.25">
      <c r="A121" t="s">
        <v>0</v>
      </c>
      <c r="B121" t="s">
        <v>5</v>
      </c>
      <c r="C121" t="s">
        <v>6</v>
      </c>
      <c r="D121" t="s">
        <v>3</v>
      </c>
      <c r="E121" t="s">
        <v>4</v>
      </c>
      <c r="F121">
        <v>55</v>
      </c>
      <c r="G121">
        <v>69</v>
      </c>
      <c r="H121">
        <v>65</v>
      </c>
      <c r="I121" s="1">
        <f>AVERAGE(tblStudents[[#This Row],[Math Score]],tblStudents[[#This Row],[Reading Score]],tblStudents[[#This Row],[Writing Score]])</f>
        <v>63</v>
      </c>
      <c r="J121">
        <f>IF(tblStudents[[#This Row],[Average Score]]&gt;=60,1,0)</f>
        <v>1</v>
      </c>
      <c r="K121" t="str">
        <f>IF(tblStudents[[#This Row],[Average Score]]&gt;=60,"Pass","At Risk")</f>
        <v>Pass</v>
      </c>
      <c r="L121" t="str" cm="1">
        <f t="array" ref="L121">_xlfn.IFS(tblStudents[[#This Row],[Average Score]]&gt;=80,"High",tblStudents[[#This Row],[Average Score]]&gt;=60,"Meets Standard",TRUE,"At Risk")</f>
        <v>Meets Standard</v>
      </c>
      <c r="M1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122" spans="1:13" x14ac:dyDescent="0.25">
      <c r="A122" t="s">
        <v>0</v>
      </c>
      <c r="B122" t="s">
        <v>5</v>
      </c>
      <c r="C122" t="s">
        <v>2</v>
      </c>
      <c r="D122" t="s">
        <v>3</v>
      </c>
      <c r="E122" t="s">
        <v>7</v>
      </c>
      <c r="F122">
        <v>79</v>
      </c>
      <c r="G122">
        <v>92</v>
      </c>
      <c r="H122">
        <v>89</v>
      </c>
      <c r="I122" s="1">
        <f>AVERAGE(tblStudents[[#This Row],[Math Score]],tblStudents[[#This Row],[Reading Score]],tblStudents[[#This Row],[Writing Score]])</f>
        <v>86.666666666666671</v>
      </c>
      <c r="J122">
        <f>IF(tblStudents[[#This Row],[Average Score]]&gt;=60,1,0)</f>
        <v>1</v>
      </c>
      <c r="K122" t="str">
        <f>IF(tblStudents[[#This Row],[Average Score]]&gt;=60,"Pass","At Risk")</f>
        <v>Pass</v>
      </c>
      <c r="L122" t="str" cm="1">
        <f t="array" ref="L122">_xlfn.IFS(tblStudents[[#This Row],[Average Score]]&gt;=80,"High",tblStudents[[#This Row],[Average Score]]&gt;=60,"Meets Standard",TRUE,"At Risk")</f>
        <v>High</v>
      </c>
      <c r="M1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23" spans="1:13" x14ac:dyDescent="0.25">
      <c r="A123" t="s">
        <v>9</v>
      </c>
      <c r="B123" t="s">
        <v>1</v>
      </c>
      <c r="C123" t="s">
        <v>11</v>
      </c>
      <c r="D123" t="s">
        <v>3</v>
      </c>
      <c r="E123" t="s">
        <v>7</v>
      </c>
      <c r="F123">
        <v>91</v>
      </c>
      <c r="G123">
        <v>89</v>
      </c>
      <c r="H123">
        <v>92</v>
      </c>
      <c r="I123" s="1">
        <f>AVERAGE(tblStudents[[#This Row],[Math Score]],tblStudents[[#This Row],[Reading Score]],tblStudents[[#This Row],[Writing Score]])</f>
        <v>90.666666666666671</v>
      </c>
      <c r="J123">
        <f>IF(tblStudents[[#This Row],[Average Score]]&gt;=60,1,0)</f>
        <v>1</v>
      </c>
      <c r="K123" t="str">
        <f>IF(tblStudents[[#This Row],[Average Score]]&gt;=60,"Pass","At Risk")</f>
        <v>Pass</v>
      </c>
      <c r="L123" t="str" cm="1">
        <f t="array" ref="L123">_xlfn.IFS(tblStudents[[#This Row],[Average Score]]&gt;=80,"High",tblStudents[[#This Row],[Average Score]]&gt;=60,"Meets Standard",TRUE,"At Risk")</f>
        <v>High</v>
      </c>
      <c r="M1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124" spans="1:13" x14ac:dyDescent="0.25">
      <c r="A124" t="s">
        <v>0</v>
      </c>
      <c r="B124" t="s">
        <v>5</v>
      </c>
      <c r="C124" t="s">
        <v>6</v>
      </c>
      <c r="D124" t="s">
        <v>3</v>
      </c>
      <c r="E124" t="s">
        <v>7</v>
      </c>
      <c r="F124">
        <v>88</v>
      </c>
      <c r="G124">
        <v>93</v>
      </c>
      <c r="H124">
        <v>93</v>
      </c>
      <c r="I124" s="1">
        <f>AVERAGE(tblStudents[[#This Row],[Math Score]],tblStudents[[#This Row],[Reading Score]],tblStudents[[#This Row],[Writing Score]])</f>
        <v>91.333333333333329</v>
      </c>
      <c r="J124">
        <f>IF(tblStudents[[#This Row],[Average Score]]&gt;=60,1,0)</f>
        <v>1</v>
      </c>
      <c r="K124" t="str">
        <f>IF(tblStudents[[#This Row],[Average Score]]&gt;=60,"Pass","At Risk")</f>
        <v>Pass</v>
      </c>
      <c r="L124" t="str" cm="1">
        <f t="array" ref="L124">_xlfn.IFS(tblStudents[[#This Row],[Average Score]]&gt;=80,"High",tblStudents[[#This Row],[Average Score]]&gt;=60,"Meets Standard",TRUE,"At Risk")</f>
        <v>High</v>
      </c>
      <c r="M1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25" spans="1:13" x14ac:dyDescent="0.25">
      <c r="A125" t="s">
        <v>9</v>
      </c>
      <c r="B125" t="s">
        <v>13</v>
      </c>
      <c r="C125" t="s">
        <v>14</v>
      </c>
      <c r="D125" t="s">
        <v>12</v>
      </c>
      <c r="E125" t="s">
        <v>4</v>
      </c>
      <c r="F125">
        <v>63</v>
      </c>
      <c r="G125">
        <v>57</v>
      </c>
      <c r="H125">
        <v>56</v>
      </c>
      <c r="I125" s="1">
        <f>AVERAGE(tblStudents[[#This Row],[Math Score]],tblStudents[[#This Row],[Reading Score]],tblStudents[[#This Row],[Writing Score]])</f>
        <v>58.666666666666664</v>
      </c>
      <c r="J125">
        <f>IF(tblStudents[[#This Row],[Average Score]]&gt;=60,1,0)</f>
        <v>0</v>
      </c>
      <c r="K125" t="str">
        <f>IF(tblStudents[[#This Row],[Average Score]]&gt;=60,"Pass","At Risk")</f>
        <v>At Risk</v>
      </c>
      <c r="L125" t="str" cm="1">
        <f t="array" ref="L125">_xlfn.IFS(tblStudents[[#This Row],[Average Score]]&gt;=80,"High",tblStudents[[#This Row],[Average Score]]&gt;=60,"Meets Standard",TRUE,"At Risk")</f>
        <v>At Risk</v>
      </c>
      <c r="M1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26" spans="1:13" x14ac:dyDescent="0.25">
      <c r="A126" t="s">
        <v>9</v>
      </c>
      <c r="B126" t="s">
        <v>16</v>
      </c>
      <c r="C126" t="s">
        <v>6</v>
      </c>
      <c r="D126" t="s">
        <v>3</v>
      </c>
      <c r="E126" t="s">
        <v>4</v>
      </c>
      <c r="F126">
        <v>83</v>
      </c>
      <c r="G126">
        <v>80</v>
      </c>
      <c r="H126">
        <v>73</v>
      </c>
      <c r="I126" s="1">
        <f>AVERAGE(tblStudents[[#This Row],[Math Score]],tblStudents[[#This Row],[Reading Score]],tblStudents[[#This Row],[Writing Score]])</f>
        <v>78.666666666666671</v>
      </c>
      <c r="J126">
        <f>IF(tblStudents[[#This Row],[Average Score]]&gt;=60,1,0)</f>
        <v>1</v>
      </c>
      <c r="K126" t="str">
        <f>IF(tblStudents[[#This Row],[Average Score]]&gt;=60,"Pass","At Risk")</f>
        <v>Pass</v>
      </c>
      <c r="L126" t="str" cm="1">
        <f t="array" ref="L126">_xlfn.IFS(tblStudents[[#This Row],[Average Score]]&gt;=80,"High",tblStudents[[#This Row],[Average Score]]&gt;=60,"Meets Standard",TRUE,"At Risk")</f>
        <v>Meets Standard</v>
      </c>
      <c r="M1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27" spans="1:13" x14ac:dyDescent="0.25">
      <c r="A127" t="s">
        <v>0</v>
      </c>
      <c r="B127" t="s">
        <v>1</v>
      </c>
      <c r="C127" t="s">
        <v>14</v>
      </c>
      <c r="D127" t="s">
        <v>3</v>
      </c>
      <c r="E127" t="s">
        <v>4</v>
      </c>
      <c r="F127">
        <v>87</v>
      </c>
      <c r="G127">
        <v>95</v>
      </c>
      <c r="H127">
        <v>86</v>
      </c>
      <c r="I127" s="1">
        <f>AVERAGE(tblStudents[[#This Row],[Math Score]],tblStudents[[#This Row],[Reading Score]],tblStudents[[#This Row],[Writing Score]])</f>
        <v>89.333333333333329</v>
      </c>
      <c r="J127">
        <f>IF(tblStudents[[#This Row],[Average Score]]&gt;=60,1,0)</f>
        <v>1</v>
      </c>
      <c r="K127" t="str">
        <f>IF(tblStudents[[#This Row],[Average Score]]&gt;=60,"Pass","At Risk")</f>
        <v>Pass</v>
      </c>
      <c r="L127" t="str" cm="1">
        <f t="array" ref="L127">_xlfn.IFS(tblStudents[[#This Row],[Average Score]]&gt;=80,"High",tblStudents[[#This Row],[Average Score]]&gt;=60,"Meets Standard",TRUE,"At Risk")</f>
        <v>High</v>
      </c>
      <c r="M1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128" spans="1:13" x14ac:dyDescent="0.25">
      <c r="A128" t="s">
        <v>9</v>
      </c>
      <c r="B128" t="s">
        <v>1</v>
      </c>
      <c r="C128" t="s">
        <v>15</v>
      </c>
      <c r="D128" t="s">
        <v>3</v>
      </c>
      <c r="E128" t="s">
        <v>4</v>
      </c>
      <c r="F128">
        <v>72</v>
      </c>
      <c r="G128">
        <v>68</v>
      </c>
      <c r="H128">
        <v>67</v>
      </c>
      <c r="I128" s="1">
        <f>AVERAGE(tblStudents[[#This Row],[Math Score]],tblStudents[[#This Row],[Reading Score]],tblStudents[[#This Row],[Writing Score]])</f>
        <v>69</v>
      </c>
      <c r="J128">
        <f>IF(tblStudents[[#This Row],[Average Score]]&gt;=60,1,0)</f>
        <v>1</v>
      </c>
      <c r="K128" t="str">
        <f>IF(tblStudents[[#This Row],[Average Score]]&gt;=60,"Pass","At Risk")</f>
        <v>Pass</v>
      </c>
      <c r="L128" t="str" cm="1">
        <f t="array" ref="L128">_xlfn.IFS(tblStudents[[#This Row],[Average Score]]&gt;=80,"High",tblStudents[[#This Row],[Average Score]]&gt;=60,"Meets Standard",TRUE,"At Risk")</f>
        <v>Meets Standard</v>
      </c>
      <c r="M1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29" spans="1:13" x14ac:dyDescent="0.25">
      <c r="A129" t="s">
        <v>9</v>
      </c>
      <c r="B129" t="s">
        <v>13</v>
      </c>
      <c r="C129" t="s">
        <v>6</v>
      </c>
      <c r="D129" t="s">
        <v>3</v>
      </c>
      <c r="E129" t="s">
        <v>7</v>
      </c>
      <c r="F129">
        <v>65</v>
      </c>
      <c r="G129">
        <v>77</v>
      </c>
      <c r="H129">
        <v>74</v>
      </c>
      <c r="I129" s="1">
        <f>AVERAGE(tblStudents[[#This Row],[Math Score]],tblStudents[[#This Row],[Reading Score]],tblStudents[[#This Row],[Writing Score]])</f>
        <v>72</v>
      </c>
      <c r="J129">
        <f>IF(tblStudents[[#This Row],[Average Score]]&gt;=60,1,0)</f>
        <v>1</v>
      </c>
      <c r="K129" t="str">
        <f>IF(tblStudents[[#This Row],[Average Score]]&gt;=60,"Pass","At Risk")</f>
        <v>Pass</v>
      </c>
      <c r="L129" t="str" cm="1">
        <f t="array" ref="L129">_xlfn.IFS(tblStudents[[#This Row],[Average Score]]&gt;=80,"High",tblStudents[[#This Row],[Average Score]]&gt;=60,"Meets Standard",TRUE,"At Risk")</f>
        <v>Meets Standard</v>
      </c>
      <c r="M1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30" spans="1:13" x14ac:dyDescent="0.25">
      <c r="A130" t="s">
        <v>9</v>
      </c>
      <c r="B130" t="s">
        <v>13</v>
      </c>
      <c r="C130" t="s">
        <v>8</v>
      </c>
      <c r="D130" t="s">
        <v>3</v>
      </c>
      <c r="E130" t="s">
        <v>4</v>
      </c>
      <c r="F130">
        <v>82</v>
      </c>
      <c r="G130">
        <v>82</v>
      </c>
      <c r="H130">
        <v>74</v>
      </c>
      <c r="I130" s="1">
        <f>AVERAGE(tblStudents[[#This Row],[Math Score]],tblStudents[[#This Row],[Reading Score]],tblStudents[[#This Row],[Writing Score]])</f>
        <v>79.333333333333329</v>
      </c>
      <c r="J130">
        <f>IF(tblStudents[[#This Row],[Average Score]]&gt;=60,1,0)</f>
        <v>1</v>
      </c>
      <c r="K130" t="str">
        <f>IF(tblStudents[[#This Row],[Average Score]]&gt;=60,"Pass","At Risk")</f>
        <v>Pass</v>
      </c>
      <c r="L130" t="str" cm="1">
        <f t="array" ref="L130">_xlfn.IFS(tblStudents[[#This Row],[Average Score]]&gt;=80,"High",tblStudents[[#This Row],[Average Score]]&gt;=60,"Meets Standard",TRUE,"At Risk")</f>
        <v>Meets Standard</v>
      </c>
      <c r="M1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31" spans="1:13" x14ac:dyDescent="0.25">
      <c r="A131" t="s">
        <v>0</v>
      </c>
      <c r="B131" t="s">
        <v>10</v>
      </c>
      <c r="C131" t="s">
        <v>2</v>
      </c>
      <c r="D131" t="s">
        <v>3</v>
      </c>
      <c r="E131" t="s">
        <v>4</v>
      </c>
      <c r="F131">
        <v>51</v>
      </c>
      <c r="G131">
        <v>49</v>
      </c>
      <c r="H131">
        <v>51</v>
      </c>
      <c r="I131" s="1">
        <f>AVERAGE(tblStudents[[#This Row],[Math Score]],tblStudents[[#This Row],[Reading Score]],tblStudents[[#This Row],[Writing Score]])</f>
        <v>50.333333333333336</v>
      </c>
      <c r="J131">
        <f>IF(tblStudents[[#This Row],[Average Score]]&gt;=60,1,0)</f>
        <v>0</v>
      </c>
      <c r="K131" t="str">
        <f>IF(tblStudents[[#This Row],[Average Score]]&gt;=60,"Pass","At Risk")</f>
        <v>At Risk</v>
      </c>
      <c r="L131" t="str" cm="1">
        <f t="array" ref="L131">_xlfn.IFS(tblStudents[[#This Row],[Average Score]]&gt;=80,"High",tblStudents[[#This Row],[Average Score]]&gt;=60,"Meets Standard",TRUE,"At Risk")</f>
        <v>At Risk</v>
      </c>
      <c r="M1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132" spans="1:13" x14ac:dyDescent="0.25">
      <c r="A132" t="s">
        <v>9</v>
      </c>
      <c r="B132" t="s">
        <v>13</v>
      </c>
      <c r="C132" t="s">
        <v>8</v>
      </c>
      <c r="D132" t="s">
        <v>3</v>
      </c>
      <c r="E132" t="s">
        <v>4</v>
      </c>
      <c r="F132">
        <v>89</v>
      </c>
      <c r="G132">
        <v>84</v>
      </c>
      <c r="H132">
        <v>82</v>
      </c>
      <c r="I132" s="1">
        <f>AVERAGE(tblStudents[[#This Row],[Math Score]],tblStudents[[#This Row],[Reading Score]],tblStudents[[#This Row],[Writing Score]])</f>
        <v>85</v>
      </c>
      <c r="J132">
        <f>IF(tblStudents[[#This Row],[Average Score]]&gt;=60,1,0)</f>
        <v>1</v>
      </c>
      <c r="K132" t="str">
        <f>IF(tblStudents[[#This Row],[Average Score]]&gt;=60,"Pass","At Risk")</f>
        <v>Pass</v>
      </c>
      <c r="L132" t="str" cm="1">
        <f t="array" ref="L132">_xlfn.IFS(tblStudents[[#This Row],[Average Score]]&gt;=80,"High",tblStudents[[#This Row],[Average Score]]&gt;=60,"Meets Standard",TRUE,"At Risk")</f>
        <v>High</v>
      </c>
      <c r="M1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33" spans="1:13" x14ac:dyDescent="0.25">
      <c r="A133" t="s">
        <v>9</v>
      </c>
      <c r="B133" t="s">
        <v>5</v>
      </c>
      <c r="C133" t="s">
        <v>15</v>
      </c>
      <c r="D133" t="s">
        <v>12</v>
      </c>
      <c r="E133" t="s">
        <v>7</v>
      </c>
      <c r="F133">
        <v>53</v>
      </c>
      <c r="G133">
        <v>37</v>
      </c>
      <c r="H133">
        <v>40</v>
      </c>
      <c r="I133" s="1">
        <f>AVERAGE(tblStudents[[#This Row],[Math Score]],tblStudents[[#This Row],[Reading Score]],tblStudents[[#This Row],[Writing Score]])</f>
        <v>43.333333333333336</v>
      </c>
      <c r="J133">
        <f>IF(tblStudents[[#This Row],[Average Score]]&gt;=60,1,0)</f>
        <v>0</v>
      </c>
      <c r="K133" t="str">
        <f>IF(tblStudents[[#This Row],[Average Score]]&gt;=60,"Pass","At Risk")</f>
        <v>At Risk</v>
      </c>
      <c r="L133" t="str" cm="1">
        <f t="array" ref="L133">_xlfn.IFS(tblStudents[[#This Row],[Average Score]]&gt;=80,"High",tblStudents[[#This Row],[Average Score]]&gt;=60,"Meets Standard",TRUE,"At Risk")</f>
        <v>At Risk</v>
      </c>
      <c r="M1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134" spans="1:13" x14ac:dyDescent="0.25">
      <c r="A134" t="s">
        <v>9</v>
      </c>
      <c r="B134" t="s">
        <v>16</v>
      </c>
      <c r="C134" t="s">
        <v>6</v>
      </c>
      <c r="D134" t="s">
        <v>12</v>
      </c>
      <c r="E134" t="s">
        <v>7</v>
      </c>
      <c r="F134">
        <v>87</v>
      </c>
      <c r="G134">
        <v>74</v>
      </c>
      <c r="H134">
        <v>70</v>
      </c>
      <c r="I134" s="1">
        <f>AVERAGE(tblStudents[[#This Row],[Math Score]],tblStudents[[#This Row],[Reading Score]],tblStudents[[#This Row],[Writing Score]])</f>
        <v>77</v>
      </c>
      <c r="J134">
        <f>IF(tblStudents[[#This Row],[Average Score]]&gt;=60,1,0)</f>
        <v>1</v>
      </c>
      <c r="K134" t="str">
        <f>IF(tblStudents[[#This Row],[Average Score]]&gt;=60,"Pass","At Risk")</f>
        <v>Pass</v>
      </c>
      <c r="L134" t="str" cm="1">
        <f t="array" ref="L134">_xlfn.IFS(tblStudents[[#This Row],[Average Score]]&gt;=80,"High",tblStudents[[#This Row],[Average Score]]&gt;=60,"Meets Standard",TRUE,"At Risk")</f>
        <v>Meets Standard</v>
      </c>
      <c r="M1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135" spans="1:13" x14ac:dyDescent="0.25">
      <c r="A135" t="s">
        <v>0</v>
      </c>
      <c r="B135" t="s">
        <v>5</v>
      </c>
      <c r="C135" t="s">
        <v>6</v>
      </c>
      <c r="D135" t="s">
        <v>3</v>
      </c>
      <c r="E135" t="s">
        <v>7</v>
      </c>
      <c r="F135">
        <v>75</v>
      </c>
      <c r="G135">
        <v>81</v>
      </c>
      <c r="H135">
        <v>84</v>
      </c>
      <c r="I135" s="1">
        <f>AVERAGE(tblStudents[[#This Row],[Math Score]],tblStudents[[#This Row],[Reading Score]],tblStudents[[#This Row],[Writing Score]])</f>
        <v>80</v>
      </c>
      <c r="J135">
        <f>IF(tblStudents[[#This Row],[Average Score]]&gt;=60,1,0)</f>
        <v>1</v>
      </c>
      <c r="K135" t="str">
        <f>IF(tblStudents[[#This Row],[Average Score]]&gt;=60,"Pass","At Risk")</f>
        <v>Pass</v>
      </c>
      <c r="L135" t="str" cm="1">
        <f t="array" ref="L135">_xlfn.IFS(tblStudents[[#This Row],[Average Score]]&gt;=80,"High",tblStudents[[#This Row],[Average Score]]&gt;=60,"Meets Standard",TRUE,"At Risk")</f>
        <v>High</v>
      </c>
      <c r="M1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136" spans="1:13" x14ac:dyDescent="0.25">
      <c r="A136" t="s">
        <v>9</v>
      </c>
      <c r="B136" t="s">
        <v>13</v>
      </c>
      <c r="C136" t="s">
        <v>2</v>
      </c>
      <c r="D136" t="s">
        <v>12</v>
      </c>
      <c r="E136" t="s">
        <v>7</v>
      </c>
      <c r="F136">
        <v>74</v>
      </c>
      <c r="G136">
        <v>79</v>
      </c>
      <c r="H136">
        <v>75</v>
      </c>
      <c r="I136" s="1">
        <f>AVERAGE(tblStudents[[#This Row],[Math Score]],tblStudents[[#This Row],[Reading Score]],tblStudents[[#This Row],[Writing Score]])</f>
        <v>76</v>
      </c>
      <c r="J136">
        <f>IF(tblStudents[[#This Row],[Average Score]]&gt;=60,1,0)</f>
        <v>1</v>
      </c>
      <c r="K136" t="str">
        <f>IF(tblStudents[[#This Row],[Average Score]]&gt;=60,"Pass","At Risk")</f>
        <v>Pass</v>
      </c>
      <c r="L136" t="str" cm="1">
        <f t="array" ref="L136">_xlfn.IFS(tblStudents[[#This Row],[Average Score]]&gt;=80,"High",tblStudents[[#This Row],[Average Score]]&gt;=60,"Meets Standard",TRUE,"At Risk")</f>
        <v>Meets Standard</v>
      </c>
      <c r="M1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37" spans="1:13" x14ac:dyDescent="0.25">
      <c r="A137" t="s">
        <v>9</v>
      </c>
      <c r="B137" t="s">
        <v>5</v>
      </c>
      <c r="C137" t="s">
        <v>2</v>
      </c>
      <c r="D137" t="s">
        <v>3</v>
      </c>
      <c r="E137" t="s">
        <v>4</v>
      </c>
      <c r="F137">
        <v>58</v>
      </c>
      <c r="G137">
        <v>55</v>
      </c>
      <c r="H137">
        <v>48</v>
      </c>
      <c r="I137" s="1">
        <f>AVERAGE(tblStudents[[#This Row],[Math Score]],tblStudents[[#This Row],[Reading Score]],tblStudents[[#This Row],[Writing Score]])</f>
        <v>53.666666666666664</v>
      </c>
      <c r="J137">
        <f>IF(tblStudents[[#This Row],[Average Score]]&gt;=60,1,0)</f>
        <v>0</v>
      </c>
      <c r="K137" t="str">
        <f>IF(tblStudents[[#This Row],[Average Score]]&gt;=60,"Pass","At Risk")</f>
        <v>At Risk</v>
      </c>
      <c r="L137" t="str" cm="1">
        <f t="array" ref="L137">_xlfn.IFS(tblStudents[[#This Row],[Average Score]]&gt;=80,"High",tblStudents[[#This Row],[Average Score]]&gt;=60,"Meets Standard",TRUE,"At Risk")</f>
        <v>At Risk</v>
      </c>
      <c r="M1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38" spans="1:13" x14ac:dyDescent="0.25">
      <c r="A138" t="s">
        <v>9</v>
      </c>
      <c r="B138" t="s">
        <v>1</v>
      </c>
      <c r="C138" t="s">
        <v>15</v>
      </c>
      <c r="D138" t="s">
        <v>3</v>
      </c>
      <c r="E138" t="s">
        <v>7</v>
      </c>
      <c r="F138">
        <v>51</v>
      </c>
      <c r="G138">
        <v>54</v>
      </c>
      <c r="H138">
        <v>41</v>
      </c>
      <c r="I138" s="1">
        <f>AVERAGE(tblStudents[[#This Row],[Math Score]],tblStudents[[#This Row],[Reading Score]],tblStudents[[#This Row],[Writing Score]])</f>
        <v>48.666666666666664</v>
      </c>
      <c r="J138">
        <f>IF(tblStudents[[#This Row],[Average Score]]&gt;=60,1,0)</f>
        <v>0</v>
      </c>
      <c r="K138" t="str">
        <f>IF(tblStudents[[#This Row],[Average Score]]&gt;=60,"Pass","At Risk")</f>
        <v>At Risk</v>
      </c>
      <c r="L138" t="str" cm="1">
        <f t="array" ref="L138">_xlfn.IFS(tblStudents[[#This Row],[Average Score]]&gt;=80,"High",tblStudents[[#This Row],[Average Score]]&gt;=60,"Meets Standard",TRUE,"At Risk")</f>
        <v>At Risk</v>
      </c>
      <c r="M1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39" spans="1:13" x14ac:dyDescent="0.25">
      <c r="A139" t="s">
        <v>9</v>
      </c>
      <c r="B139" t="s">
        <v>16</v>
      </c>
      <c r="C139" t="s">
        <v>14</v>
      </c>
      <c r="D139" t="s">
        <v>3</v>
      </c>
      <c r="E139" t="s">
        <v>4</v>
      </c>
      <c r="F139">
        <v>70</v>
      </c>
      <c r="G139">
        <v>55</v>
      </c>
      <c r="H139">
        <v>56</v>
      </c>
      <c r="I139" s="1">
        <f>AVERAGE(tblStudents[[#This Row],[Math Score]],tblStudents[[#This Row],[Reading Score]],tblStudents[[#This Row],[Writing Score]])</f>
        <v>60.333333333333336</v>
      </c>
      <c r="J139">
        <f>IF(tblStudents[[#This Row],[Average Score]]&gt;=60,1,0)</f>
        <v>1</v>
      </c>
      <c r="K139" t="str">
        <f>IF(tblStudents[[#This Row],[Average Score]]&gt;=60,"Pass","At Risk")</f>
        <v>Pass</v>
      </c>
      <c r="L139" t="str" cm="1">
        <f t="array" ref="L139">_xlfn.IFS(tblStudents[[#This Row],[Average Score]]&gt;=80,"High",tblStudents[[#This Row],[Average Score]]&gt;=60,"Meets Standard",TRUE,"At Risk")</f>
        <v>Meets Standard</v>
      </c>
      <c r="M1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140" spans="1:13" x14ac:dyDescent="0.25">
      <c r="A140" t="s">
        <v>0</v>
      </c>
      <c r="B140" t="s">
        <v>5</v>
      </c>
      <c r="C140" t="s">
        <v>11</v>
      </c>
      <c r="D140" t="s">
        <v>3</v>
      </c>
      <c r="E140" t="s">
        <v>4</v>
      </c>
      <c r="F140">
        <v>59</v>
      </c>
      <c r="G140">
        <v>66</v>
      </c>
      <c r="H140">
        <v>67</v>
      </c>
      <c r="I140" s="1">
        <f>AVERAGE(tblStudents[[#This Row],[Math Score]],tblStudents[[#This Row],[Reading Score]],tblStudents[[#This Row],[Writing Score]])</f>
        <v>64</v>
      </c>
      <c r="J140">
        <f>IF(tblStudents[[#This Row],[Average Score]]&gt;=60,1,0)</f>
        <v>1</v>
      </c>
      <c r="K140" t="str">
        <f>IF(tblStudents[[#This Row],[Average Score]]&gt;=60,"Pass","At Risk")</f>
        <v>Pass</v>
      </c>
      <c r="L140" t="str" cm="1">
        <f t="array" ref="L140">_xlfn.IFS(tblStudents[[#This Row],[Average Score]]&gt;=80,"High",tblStudents[[#This Row],[Average Score]]&gt;=60,"Meets Standard",TRUE,"At Risk")</f>
        <v>Meets Standard</v>
      </c>
      <c r="M1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41" spans="1:13" x14ac:dyDescent="0.25">
      <c r="A141" t="s">
        <v>9</v>
      </c>
      <c r="B141" t="s">
        <v>13</v>
      </c>
      <c r="C141" t="s">
        <v>6</v>
      </c>
      <c r="D141" t="s">
        <v>3</v>
      </c>
      <c r="E141" t="s">
        <v>7</v>
      </c>
      <c r="F141">
        <v>71</v>
      </c>
      <c r="G141">
        <v>61</v>
      </c>
      <c r="H141">
        <v>69</v>
      </c>
      <c r="I141" s="1">
        <f>AVERAGE(tblStudents[[#This Row],[Math Score]],tblStudents[[#This Row],[Reading Score]],tblStudents[[#This Row],[Writing Score]])</f>
        <v>67</v>
      </c>
      <c r="J141">
        <f>IF(tblStudents[[#This Row],[Average Score]]&gt;=60,1,0)</f>
        <v>1</v>
      </c>
      <c r="K141" t="str">
        <f>IF(tblStudents[[#This Row],[Average Score]]&gt;=60,"Pass","At Risk")</f>
        <v>Pass</v>
      </c>
      <c r="L141" t="str" cm="1">
        <f t="array" ref="L141">_xlfn.IFS(tblStudents[[#This Row],[Average Score]]&gt;=80,"High",tblStudents[[#This Row],[Average Score]]&gt;=60,"Meets Standard",TRUE,"At Risk")</f>
        <v>Meets Standard</v>
      </c>
      <c r="M1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42" spans="1:13" x14ac:dyDescent="0.25">
      <c r="A142" t="s">
        <v>0</v>
      </c>
      <c r="B142" t="s">
        <v>13</v>
      </c>
      <c r="C142" t="s">
        <v>15</v>
      </c>
      <c r="D142" t="s">
        <v>3</v>
      </c>
      <c r="E142" t="s">
        <v>4</v>
      </c>
      <c r="F142">
        <v>76</v>
      </c>
      <c r="G142">
        <v>72</v>
      </c>
      <c r="H142">
        <v>71</v>
      </c>
      <c r="I142" s="1">
        <f>AVERAGE(tblStudents[[#This Row],[Math Score]],tblStudents[[#This Row],[Reading Score]],tblStudents[[#This Row],[Writing Score]])</f>
        <v>73</v>
      </c>
      <c r="J142">
        <f>IF(tblStudents[[#This Row],[Average Score]]&gt;=60,1,0)</f>
        <v>1</v>
      </c>
      <c r="K142" t="str">
        <f>IF(tblStudents[[#This Row],[Average Score]]&gt;=60,"Pass","At Risk")</f>
        <v>Pass</v>
      </c>
      <c r="L142" t="str" cm="1">
        <f t="array" ref="L142">_xlfn.IFS(tblStudents[[#This Row],[Average Score]]&gt;=80,"High",tblStudents[[#This Row],[Average Score]]&gt;=60,"Meets Standard",TRUE,"At Risk")</f>
        <v>Meets Standard</v>
      </c>
      <c r="M1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43" spans="1:13" x14ac:dyDescent="0.25">
      <c r="A143" t="s">
        <v>0</v>
      </c>
      <c r="B143" t="s">
        <v>5</v>
      </c>
      <c r="C143" t="s">
        <v>6</v>
      </c>
      <c r="D143" t="s">
        <v>12</v>
      </c>
      <c r="E143" t="s">
        <v>4</v>
      </c>
      <c r="F143">
        <v>59</v>
      </c>
      <c r="G143">
        <v>62</v>
      </c>
      <c r="H143">
        <v>64</v>
      </c>
      <c r="I143" s="1">
        <f>AVERAGE(tblStudents[[#This Row],[Math Score]],tblStudents[[#This Row],[Reading Score]],tblStudents[[#This Row],[Writing Score]])</f>
        <v>61.666666666666664</v>
      </c>
      <c r="J143">
        <f>IF(tblStudents[[#This Row],[Average Score]]&gt;=60,1,0)</f>
        <v>1</v>
      </c>
      <c r="K143" t="str">
        <f>IF(tblStudents[[#This Row],[Average Score]]&gt;=60,"Pass","At Risk")</f>
        <v>Pass</v>
      </c>
      <c r="L143" t="str" cm="1">
        <f t="array" ref="L143">_xlfn.IFS(tblStudents[[#This Row],[Average Score]]&gt;=80,"High",tblStudents[[#This Row],[Average Score]]&gt;=60,"Meets Standard",TRUE,"At Risk")</f>
        <v>Meets Standard</v>
      </c>
      <c r="M1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44" spans="1:13" x14ac:dyDescent="0.25">
      <c r="A144" t="s">
        <v>0</v>
      </c>
      <c r="B144" t="s">
        <v>16</v>
      </c>
      <c r="C144" t="s">
        <v>6</v>
      </c>
      <c r="D144" t="s">
        <v>12</v>
      </c>
      <c r="E144" t="s">
        <v>7</v>
      </c>
      <c r="F144">
        <v>42</v>
      </c>
      <c r="G144">
        <v>55</v>
      </c>
      <c r="H144">
        <v>54</v>
      </c>
      <c r="I144" s="1">
        <f>AVERAGE(tblStudents[[#This Row],[Math Score]],tblStudents[[#This Row],[Reading Score]],tblStudents[[#This Row],[Writing Score]])</f>
        <v>50.333333333333336</v>
      </c>
      <c r="J144">
        <f>IF(tblStudents[[#This Row],[Average Score]]&gt;=60,1,0)</f>
        <v>0</v>
      </c>
      <c r="K144" t="str">
        <f>IF(tblStudents[[#This Row],[Average Score]]&gt;=60,"Pass","At Risk")</f>
        <v>At Risk</v>
      </c>
      <c r="L144" t="str" cm="1">
        <f t="array" ref="L144">_xlfn.IFS(tblStudents[[#This Row],[Average Score]]&gt;=80,"High",tblStudents[[#This Row],[Average Score]]&gt;=60,"Meets Standard",TRUE,"At Risk")</f>
        <v>At Risk</v>
      </c>
      <c r="M1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45" spans="1:13" x14ac:dyDescent="0.25">
      <c r="A145" t="s">
        <v>9</v>
      </c>
      <c r="B145" t="s">
        <v>10</v>
      </c>
      <c r="C145" t="s">
        <v>14</v>
      </c>
      <c r="D145" t="s">
        <v>3</v>
      </c>
      <c r="E145" t="s">
        <v>4</v>
      </c>
      <c r="F145">
        <v>57</v>
      </c>
      <c r="G145">
        <v>43</v>
      </c>
      <c r="H145">
        <v>47</v>
      </c>
      <c r="I145" s="1">
        <f>AVERAGE(tblStudents[[#This Row],[Math Score]],tblStudents[[#This Row],[Reading Score]],tblStudents[[#This Row],[Writing Score]])</f>
        <v>49</v>
      </c>
      <c r="J145">
        <f>IF(tblStudents[[#This Row],[Average Score]]&gt;=60,1,0)</f>
        <v>0</v>
      </c>
      <c r="K145" t="str">
        <f>IF(tblStudents[[#This Row],[Average Score]]&gt;=60,"Pass","At Risk")</f>
        <v>At Risk</v>
      </c>
      <c r="L145" t="str" cm="1">
        <f t="array" ref="L145">_xlfn.IFS(tblStudents[[#This Row],[Average Score]]&gt;=80,"High",tblStudents[[#This Row],[Average Score]]&gt;=60,"Meets Standard",TRUE,"At Risk")</f>
        <v>At Risk</v>
      </c>
      <c r="M1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146" spans="1:13" x14ac:dyDescent="0.25">
      <c r="A146" t="s">
        <v>9</v>
      </c>
      <c r="B146" t="s">
        <v>13</v>
      </c>
      <c r="C146" t="s">
        <v>6</v>
      </c>
      <c r="D146" t="s">
        <v>3</v>
      </c>
      <c r="E146" t="s">
        <v>4</v>
      </c>
      <c r="F146">
        <v>88</v>
      </c>
      <c r="G146">
        <v>73</v>
      </c>
      <c r="H146">
        <v>78</v>
      </c>
      <c r="I146" s="1">
        <f>AVERAGE(tblStudents[[#This Row],[Math Score]],tblStudents[[#This Row],[Reading Score]],tblStudents[[#This Row],[Writing Score]])</f>
        <v>79.666666666666671</v>
      </c>
      <c r="J146">
        <f>IF(tblStudents[[#This Row],[Average Score]]&gt;=60,1,0)</f>
        <v>1</v>
      </c>
      <c r="K146" t="str">
        <f>IF(tblStudents[[#This Row],[Average Score]]&gt;=60,"Pass","At Risk")</f>
        <v>Pass</v>
      </c>
      <c r="L146" t="str" cm="1">
        <f t="array" ref="L146">_xlfn.IFS(tblStudents[[#This Row],[Average Score]]&gt;=80,"High",tblStudents[[#This Row],[Average Score]]&gt;=60,"Meets Standard",TRUE,"At Risk")</f>
        <v>Meets Standard</v>
      </c>
      <c r="M1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147" spans="1:13" x14ac:dyDescent="0.25">
      <c r="A147" t="s">
        <v>0</v>
      </c>
      <c r="B147" t="s">
        <v>5</v>
      </c>
      <c r="C147" t="s">
        <v>6</v>
      </c>
      <c r="D147" t="s">
        <v>12</v>
      </c>
      <c r="E147" t="s">
        <v>4</v>
      </c>
      <c r="F147">
        <v>22</v>
      </c>
      <c r="G147">
        <v>39</v>
      </c>
      <c r="H147">
        <v>33</v>
      </c>
      <c r="I147" s="1">
        <f>AVERAGE(tblStudents[[#This Row],[Math Score]],tblStudents[[#This Row],[Reading Score]],tblStudents[[#This Row],[Writing Score]])</f>
        <v>31.333333333333332</v>
      </c>
      <c r="J147">
        <f>IF(tblStudents[[#This Row],[Average Score]]&gt;=60,1,0)</f>
        <v>0</v>
      </c>
      <c r="K147" t="str">
        <f>IF(tblStudents[[#This Row],[Average Score]]&gt;=60,"Pass","At Risk")</f>
        <v>At Risk</v>
      </c>
      <c r="L147" t="str" cm="1">
        <f t="array" ref="L147">_xlfn.IFS(tblStudents[[#This Row],[Average Score]]&gt;=80,"High",tblStudents[[#This Row],[Average Score]]&gt;=60,"Meets Standard",TRUE,"At Risk")</f>
        <v>At Risk</v>
      </c>
      <c r="M1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148" spans="1:13" x14ac:dyDescent="0.25">
      <c r="A148" t="s">
        <v>9</v>
      </c>
      <c r="B148" t="s">
        <v>1</v>
      </c>
      <c r="C148" t="s">
        <v>15</v>
      </c>
      <c r="D148" t="s">
        <v>3</v>
      </c>
      <c r="E148" t="s">
        <v>4</v>
      </c>
      <c r="F148">
        <v>88</v>
      </c>
      <c r="G148">
        <v>84</v>
      </c>
      <c r="H148">
        <v>75</v>
      </c>
      <c r="I148" s="1">
        <f>AVERAGE(tblStudents[[#This Row],[Math Score]],tblStudents[[#This Row],[Reading Score]],tblStudents[[#This Row],[Writing Score]])</f>
        <v>82.333333333333329</v>
      </c>
      <c r="J148">
        <f>IF(tblStudents[[#This Row],[Average Score]]&gt;=60,1,0)</f>
        <v>1</v>
      </c>
      <c r="K148" t="str">
        <f>IF(tblStudents[[#This Row],[Average Score]]&gt;=60,"Pass","At Risk")</f>
        <v>Pass</v>
      </c>
      <c r="L148" t="str" cm="1">
        <f t="array" ref="L148">_xlfn.IFS(tblStudents[[#This Row],[Average Score]]&gt;=80,"High",tblStudents[[#This Row],[Average Score]]&gt;=60,"Meets Standard",TRUE,"At Risk")</f>
        <v>High</v>
      </c>
      <c r="M1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49" spans="1:13" x14ac:dyDescent="0.25">
      <c r="A149" t="s">
        <v>9</v>
      </c>
      <c r="B149" t="s">
        <v>5</v>
      </c>
      <c r="C149" t="s">
        <v>11</v>
      </c>
      <c r="D149" t="s">
        <v>12</v>
      </c>
      <c r="E149" t="s">
        <v>4</v>
      </c>
      <c r="F149">
        <v>73</v>
      </c>
      <c r="G149">
        <v>68</v>
      </c>
      <c r="H149">
        <v>66</v>
      </c>
      <c r="I149" s="1">
        <f>AVERAGE(tblStudents[[#This Row],[Math Score]],tblStudents[[#This Row],[Reading Score]],tblStudents[[#This Row],[Writing Score]])</f>
        <v>69</v>
      </c>
      <c r="J149">
        <f>IF(tblStudents[[#This Row],[Average Score]]&gt;=60,1,0)</f>
        <v>1</v>
      </c>
      <c r="K149" t="str">
        <f>IF(tblStudents[[#This Row],[Average Score]]&gt;=60,"Pass","At Risk")</f>
        <v>Pass</v>
      </c>
      <c r="L149" t="str" cm="1">
        <f t="array" ref="L149">_xlfn.IFS(tblStudents[[#This Row],[Average Score]]&gt;=80,"High",tblStudents[[#This Row],[Average Score]]&gt;=60,"Meets Standard",TRUE,"At Risk")</f>
        <v>Meets Standard</v>
      </c>
      <c r="M1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50" spans="1:13" x14ac:dyDescent="0.25">
      <c r="A150" t="s">
        <v>0</v>
      </c>
      <c r="B150" t="s">
        <v>13</v>
      </c>
      <c r="C150" t="s">
        <v>2</v>
      </c>
      <c r="D150" t="s">
        <v>3</v>
      </c>
      <c r="E150" t="s">
        <v>7</v>
      </c>
      <c r="F150">
        <v>68</v>
      </c>
      <c r="G150">
        <v>75</v>
      </c>
      <c r="H150">
        <v>81</v>
      </c>
      <c r="I150" s="1">
        <f>AVERAGE(tblStudents[[#This Row],[Math Score]],tblStudents[[#This Row],[Reading Score]],tblStudents[[#This Row],[Writing Score]])</f>
        <v>74.666666666666671</v>
      </c>
      <c r="J150">
        <f>IF(tblStudents[[#This Row],[Average Score]]&gt;=60,1,0)</f>
        <v>1</v>
      </c>
      <c r="K150" t="str">
        <f>IF(tblStudents[[#This Row],[Average Score]]&gt;=60,"Pass","At Risk")</f>
        <v>Pass</v>
      </c>
      <c r="L150" t="str" cm="1">
        <f t="array" ref="L150">_xlfn.IFS(tblStudents[[#This Row],[Average Score]]&gt;=80,"High",tblStudents[[#This Row],[Average Score]]&gt;=60,"Meets Standard",TRUE,"At Risk")</f>
        <v>Meets Standard</v>
      </c>
      <c r="M1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51" spans="1:13" x14ac:dyDescent="0.25">
      <c r="A151" t="s">
        <v>9</v>
      </c>
      <c r="B151" t="s">
        <v>16</v>
      </c>
      <c r="C151" t="s">
        <v>11</v>
      </c>
      <c r="D151" t="s">
        <v>12</v>
      </c>
      <c r="E151" t="s">
        <v>7</v>
      </c>
      <c r="F151">
        <v>100</v>
      </c>
      <c r="G151">
        <v>100</v>
      </c>
      <c r="H151">
        <v>93</v>
      </c>
      <c r="I151" s="1">
        <f>AVERAGE(tblStudents[[#This Row],[Math Score]],tblStudents[[#This Row],[Reading Score]],tblStudents[[#This Row],[Writing Score]])</f>
        <v>97.666666666666671</v>
      </c>
      <c r="J151">
        <f>IF(tblStudents[[#This Row],[Average Score]]&gt;=60,1,0)</f>
        <v>1</v>
      </c>
      <c r="K151" t="str">
        <f>IF(tblStudents[[#This Row],[Average Score]]&gt;=60,"Pass","At Risk")</f>
        <v>Pass</v>
      </c>
      <c r="L151" t="str" cm="1">
        <f t="array" ref="L151">_xlfn.IFS(tblStudents[[#This Row],[Average Score]]&gt;=80,"High",tblStudents[[#This Row],[Average Score]]&gt;=60,"Meets Standard",TRUE,"At Risk")</f>
        <v>High</v>
      </c>
      <c r="M1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52" spans="1:13" x14ac:dyDescent="0.25">
      <c r="A152" t="s">
        <v>9</v>
      </c>
      <c r="B152" t="s">
        <v>10</v>
      </c>
      <c r="C152" t="s">
        <v>15</v>
      </c>
      <c r="D152" t="s">
        <v>3</v>
      </c>
      <c r="E152" t="s">
        <v>7</v>
      </c>
      <c r="F152">
        <v>62</v>
      </c>
      <c r="G152">
        <v>67</v>
      </c>
      <c r="H152">
        <v>69</v>
      </c>
      <c r="I152" s="1">
        <f>AVERAGE(tblStudents[[#This Row],[Math Score]],tblStudents[[#This Row],[Reading Score]],tblStudents[[#This Row],[Writing Score]])</f>
        <v>66</v>
      </c>
      <c r="J152">
        <f>IF(tblStudents[[#This Row],[Average Score]]&gt;=60,1,0)</f>
        <v>1</v>
      </c>
      <c r="K152" t="str">
        <f>IF(tblStudents[[#This Row],[Average Score]]&gt;=60,"Pass","At Risk")</f>
        <v>Pass</v>
      </c>
      <c r="L152" t="str" cm="1">
        <f t="array" ref="L152">_xlfn.IFS(tblStudents[[#This Row],[Average Score]]&gt;=80,"High",tblStudents[[#This Row],[Average Score]]&gt;=60,"Meets Standard",TRUE,"At Risk")</f>
        <v>Meets Standard</v>
      </c>
      <c r="M1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53" spans="1:13" x14ac:dyDescent="0.25">
      <c r="A153" t="s">
        <v>9</v>
      </c>
      <c r="B153" t="s">
        <v>10</v>
      </c>
      <c r="C153" t="s">
        <v>2</v>
      </c>
      <c r="D153" t="s">
        <v>3</v>
      </c>
      <c r="E153" t="s">
        <v>4</v>
      </c>
      <c r="F153">
        <v>77</v>
      </c>
      <c r="G153">
        <v>67</v>
      </c>
      <c r="H153">
        <v>68</v>
      </c>
      <c r="I153" s="1">
        <f>AVERAGE(tblStudents[[#This Row],[Math Score]],tblStudents[[#This Row],[Reading Score]],tblStudents[[#This Row],[Writing Score]])</f>
        <v>70.666666666666671</v>
      </c>
      <c r="J153">
        <f>IF(tblStudents[[#This Row],[Average Score]]&gt;=60,1,0)</f>
        <v>1</v>
      </c>
      <c r="K153" t="str">
        <f>IF(tblStudents[[#This Row],[Average Score]]&gt;=60,"Pass","At Risk")</f>
        <v>Pass</v>
      </c>
      <c r="L153" t="str" cm="1">
        <f t="array" ref="L153">_xlfn.IFS(tblStudents[[#This Row],[Average Score]]&gt;=80,"High",tblStudents[[#This Row],[Average Score]]&gt;=60,"Meets Standard",TRUE,"At Risk")</f>
        <v>Meets Standard</v>
      </c>
      <c r="M1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54" spans="1:13" x14ac:dyDescent="0.25">
      <c r="A154" t="s">
        <v>0</v>
      </c>
      <c r="B154" t="s">
        <v>1</v>
      </c>
      <c r="C154" t="s">
        <v>11</v>
      </c>
      <c r="D154" t="s">
        <v>3</v>
      </c>
      <c r="E154" t="s">
        <v>7</v>
      </c>
      <c r="F154">
        <v>59</v>
      </c>
      <c r="G154">
        <v>70</v>
      </c>
      <c r="H154">
        <v>66</v>
      </c>
      <c r="I154" s="1">
        <f>AVERAGE(tblStudents[[#This Row],[Math Score]],tblStudents[[#This Row],[Reading Score]],tblStudents[[#This Row],[Writing Score]])</f>
        <v>65</v>
      </c>
      <c r="J154">
        <f>IF(tblStudents[[#This Row],[Average Score]]&gt;=60,1,0)</f>
        <v>1</v>
      </c>
      <c r="K154" t="str">
        <f>IF(tblStudents[[#This Row],[Average Score]]&gt;=60,"Pass","At Risk")</f>
        <v>Pass</v>
      </c>
      <c r="L154" t="str" cm="1">
        <f t="array" ref="L154">_xlfn.IFS(tblStudents[[#This Row],[Average Score]]&gt;=80,"High",tblStudents[[#This Row],[Average Score]]&gt;=60,"Meets Standard",TRUE,"At Risk")</f>
        <v>Meets Standard</v>
      </c>
      <c r="M1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155" spans="1:13" x14ac:dyDescent="0.25">
      <c r="A155" t="s">
        <v>9</v>
      </c>
      <c r="B155" t="s">
        <v>13</v>
      </c>
      <c r="C155" t="s">
        <v>2</v>
      </c>
      <c r="D155" t="s">
        <v>3</v>
      </c>
      <c r="E155" t="s">
        <v>4</v>
      </c>
      <c r="F155">
        <v>54</v>
      </c>
      <c r="G155">
        <v>49</v>
      </c>
      <c r="H155">
        <v>47</v>
      </c>
      <c r="I155" s="1">
        <f>AVERAGE(tblStudents[[#This Row],[Math Score]],tblStudents[[#This Row],[Reading Score]],tblStudents[[#This Row],[Writing Score]])</f>
        <v>50</v>
      </c>
      <c r="J155">
        <f>IF(tblStudents[[#This Row],[Average Score]]&gt;=60,1,0)</f>
        <v>0</v>
      </c>
      <c r="K155" t="str">
        <f>IF(tblStudents[[#This Row],[Average Score]]&gt;=60,"Pass","At Risk")</f>
        <v>At Risk</v>
      </c>
      <c r="L155" t="str" cm="1">
        <f t="array" ref="L155">_xlfn.IFS(tblStudents[[#This Row],[Average Score]]&gt;=80,"High",tblStudents[[#This Row],[Average Score]]&gt;=60,"Meets Standard",TRUE,"At Risk")</f>
        <v>At Risk</v>
      </c>
      <c r="M1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56" spans="1:13" x14ac:dyDescent="0.25">
      <c r="A156" t="s">
        <v>9</v>
      </c>
      <c r="B156" t="s">
        <v>13</v>
      </c>
      <c r="C156" t="s">
        <v>15</v>
      </c>
      <c r="D156" t="s">
        <v>3</v>
      </c>
      <c r="E156" t="s">
        <v>4</v>
      </c>
      <c r="F156">
        <v>62</v>
      </c>
      <c r="G156">
        <v>67</v>
      </c>
      <c r="H156">
        <v>61</v>
      </c>
      <c r="I156" s="1">
        <f>AVERAGE(tblStudents[[#This Row],[Math Score]],tblStudents[[#This Row],[Reading Score]],tblStudents[[#This Row],[Writing Score]])</f>
        <v>63.333333333333336</v>
      </c>
      <c r="J156">
        <f>IF(tblStudents[[#This Row],[Average Score]]&gt;=60,1,0)</f>
        <v>1</v>
      </c>
      <c r="K156" t="str">
        <f>IF(tblStudents[[#This Row],[Average Score]]&gt;=60,"Pass","At Risk")</f>
        <v>Pass</v>
      </c>
      <c r="L156" t="str" cm="1">
        <f t="array" ref="L156">_xlfn.IFS(tblStudents[[#This Row],[Average Score]]&gt;=80,"High",tblStudents[[#This Row],[Average Score]]&gt;=60,"Meets Standard",TRUE,"At Risk")</f>
        <v>Meets Standard</v>
      </c>
      <c r="M1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157" spans="1:13" x14ac:dyDescent="0.25">
      <c r="A157" t="s">
        <v>0</v>
      </c>
      <c r="B157" t="s">
        <v>5</v>
      </c>
      <c r="C157" t="s">
        <v>6</v>
      </c>
      <c r="D157" t="s">
        <v>3</v>
      </c>
      <c r="E157" t="s">
        <v>7</v>
      </c>
      <c r="F157">
        <v>70</v>
      </c>
      <c r="G157">
        <v>89</v>
      </c>
      <c r="H157">
        <v>88</v>
      </c>
      <c r="I157" s="1">
        <f>AVERAGE(tblStudents[[#This Row],[Math Score]],tblStudents[[#This Row],[Reading Score]],tblStudents[[#This Row],[Writing Score]])</f>
        <v>82.333333333333329</v>
      </c>
      <c r="J157">
        <f>IF(tblStudents[[#This Row],[Average Score]]&gt;=60,1,0)</f>
        <v>1</v>
      </c>
      <c r="K157" t="str">
        <f>IF(tblStudents[[#This Row],[Average Score]]&gt;=60,"Pass","At Risk")</f>
        <v>Pass</v>
      </c>
      <c r="L157" t="str" cm="1">
        <f t="array" ref="L157">_xlfn.IFS(tblStudents[[#This Row],[Average Score]]&gt;=80,"High",tblStudents[[#This Row],[Average Score]]&gt;=60,"Meets Standard",TRUE,"At Risk")</f>
        <v>High</v>
      </c>
      <c r="M1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158" spans="1:13" x14ac:dyDescent="0.25">
      <c r="A158" t="s">
        <v>0</v>
      </c>
      <c r="B158" t="s">
        <v>16</v>
      </c>
      <c r="C158" t="s">
        <v>14</v>
      </c>
      <c r="D158" t="s">
        <v>12</v>
      </c>
      <c r="E158" t="s">
        <v>7</v>
      </c>
      <c r="F158">
        <v>66</v>
      </c>
      <c r="G158">
        <v>74</v>
      </c>
      <c r="H158">
        <v>78</v>
      </c>
      <c r="I158" s="1">
        <f>AVERAGE(tblStudents[[#This Row],[Math Score]],tblStudents[[#This Row],[Reading Score]],tblStudents[[#This Row],[Writing Score]])</f>
        <v>72.666666666666671</v>
      </c>
      <c r="J158">
        <f>IF(tblStudents[[#This Row],[Average Score]]&gt;=60,1,0)</f>
        <v>1</v>
      </c>
      <c r="K158" t="str">
        <f>IF(tblStudents[[#This Row],[Average Score]]&gt;=60,"Pass","At Risk")</f>
        <v>Pass</v>
      </c>
      <c r="L158" t="str" cm="1">
        <f t="array" ref="L158">_xlfn.IFS(tblStudents[[#This Row],[Average Score]]&gt;=80,"High",tblStudents[[#This Row],[Average Score]]&gt;=60,"Meets Standard",TRUE,"At Risk")</f>
        <v>Meets Standard</v>
      </c>
      <c r="M1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59" spans="1:13" x14ac:dyDescent="0.25">
      <c r="A159" t="s">
        <v>9</v>
      </c>
      <c r="B159" t="s">
        <v>1</v>
      </c>
      <c r="C159" t="s">
        <v>6</v>
      </c>
      <c r="D159" t="s">
        <v>12</v>
      </c>
      <c r="E159" t="s">
        <v>4</v>
      </c>
      <c r="F159">
        <v>60</v>
      </c>
      <c r="G159">
        <v>60</v>
      </c>
      <c r="H159">
        <v>60</v>
      </c>
      <c r="I159" s="1">
        <f>AVERAGE(tblStudents[[#This Row],[Math Score]],tblStudents[[#This Row],[Reading Score]],tblStudents[[#This Row],[Writing Score]])</f>
        <v>60</v>
      </c>
      <c r="J159">
        <f>IF(tblStudents[[#This Row],[Average Score]]&gt;=60,1,0)</f>
        <v>1</v>
      </c>
      <c r="K159" t="str">
        <f>IF(tblStudents[[#This Row],[Average Score]]&gt;=60,"Pass","At Risk")</f>
        <v>Pass</v>
      </c>
      <c r="L159" t="str" cm="1">
        <f t="array" ref="L159">_xlfn.IFS(tblStudents[[#This Row],[Average Score]]&gt;=80,"High",tblStudents[[#This Row],[Average Score]]&gt;=60,"Meets Standard",TRUE,"At Risk")</f>
        <v>Meets Standard</v>
      </c>
      <c r="M1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0</v>
      </c>
    </row>
    <row r="160" spans="1:13" x14ac:dyDescent="0.25">
      <c r="A160" t="s">
        <v>0</v>
      </c>
      <c r="B160" t="s">
        <v>1</v>
      </c>
      <c r="C160" t="s">
        <v>11</v>
      </c>
      <c r="D160" t="s">
        <v>3</v>
      </c>
      <c r="E160" t="s">
        <v>7</v>
      </c>
      <c r="F160">
        <v>61</v>
      </c>
      <c r="G160">
        <v>86</v>
      </c>
      <c r="H160">
        <v>87</v>
      </c>
      <c r="I160" s="1">
        <f>AVERAGE(tblStudents[[#This Row],[Math Score]],tblStudents[[#This Row],[Reading Score]],tblStudents[[#This Row],[Writing Score]])</f>
        <v>78</v>
      </c>
      <c r="J160">
        <f>IF(tblStudents[[#This Row],[Average Score]]&gt;=60,1,0)</f>
        <v>1</v>
      </c>
      <c r="K160" t="str">
        <f>IF(tblStudents[[#This Row],[Average Score]]&gt;=60,"Pass","At Risk")</f>
        <v>Pass</v>
      </c>
      <c r="L160" t="str" cm="1">
        <f t="array" ref="L160">_xlfn.IFS(tblStudents[[#This Row],[Average Score]]&gt;=80,"High",tblStudents[[#This Row],[Average Score]]&gt;=60,"Meets Standard",TRUE,"At Risk")</f>
        <v>Meets Standard</v>
      </c>
      <c r="M1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26</v>
      </c>
    </row>
    <row r="161" spans="1:13" x14ac:dyDescent="0.25">
      <c r="A161" t="s">
        <v>9</v>
      </c>
      <c r="B161" t="s">
        <v>13</v>
      </c>
      <c r="C161" t="s">
        <v>11</v>
      </c>
      <c r="D161" t="s">
        <v>12</v>
      </c>
      <c r="E161" t="s">
        <v>4</v>
      </c>
      <c r="F161">
        <v>66</v>
      </c>
      <c r="G161">
        <v>62</v>
      </c>
      <c r="H161">
        <v>64</v>
      </c>
      <c r="I161" s="1">
        <f>AVERAGE(tblStudents[[#This Row],[Math Score]],tblStudents[[#This Row],[Reading Score]],tblStudents[[#This Row],[Writing Score]])</f>
        <v>64</v>
      </c>
      <c r="J161">
        <f>IF(tblStudents[[#This Row],[Average Score]]&gt;=60,1,0)</f>
        <v>1</v>
      </c>
      <c r="K161" t="str">
        <f>IF(tblStudents[[#This Row],[Average Score]]&gt;=60,"Pass","At Risk")</f>
        <v>Pass</v>
      </c>
      <c r="L161" t="str" cm="1">
        <f t="array" ref="L161">_xlfn.IFS(tblStudents[[#This Row],[Average Score]]&gt;=80,"High",tblStudents[[#This Row],[Average Score]]&gt;=60,"Meets Standard",TRUE,"At Risk")</f>
        <v>Meets Standard</v>
      </c>
      <c r="M1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62" spans="1:13" x14ac:dyDescent="0.25">
      <c r="A162" t="s">
        <v>9</v>
      </c>
      <c r="B162" t="s">
        <v>1</v>
      </c>
      <c r="C162" t="s">
        <v>11</v>
      </c>
      <c r="D162" t="s">
        <v>12</v>
      </c>
      <c r="E162" t="s">
        <v>7</v>
      </c>
      <c r="F162">
        <v>82</v>
      </c>
      <c r="G162">
        <v>78</v>
      </c>
      <c r="H162">
        <v>74</v>
      </c>
      <c r="I162" s="1">
        <f>AVERAGE(tblStudents[[#This Row],[Math Score]],tblStudents[[#This Row],[Reading Score]],tblStudents[[#This Row],[Writing Score]])</f>
        <v>78</v>
      </c>
      <c r="J162">
        <f>IF(tblStudents[[#This Row],[Average Score]]&gt;=60,1,0)</f>
        <v>1</v>
      </c>
      <c r="K162" t="str">
        <f>IF(tblStudents[[#This Row],[Average Score]]&gt;=60,"Pass","At Risk")</f>
        <v>Pass</v>
      </c>
      <c r="L162" t="str" cm="1">
        <f t="array" ref="L162">_xlfn.IFS(tblStudents[[#This Row],[Average Score]]&gt;=80,"High",tblStudents[[#This Row],[Average Score]]&gt;=60,"Meets Standard",TRUE,"At Risk")</f>
        <v>Meets Standard</v>
      </c>
      <c r="M1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63" spans="1:13" x14ac:dyDescent="0.25">
      <c r="A163" t="s">
        <v>0</v>
      </c>
      <c r="B163" t="s">
        <v>16</v>
      </c>
      <c r="C163" t="s">
        <v>6</v>
      </c>
      <c r="D163" t="s">
        <v>12</v>
      </c>
      <c r="E163" t="s">
        <v>7</v>
      </c>
      <c r="F163">
        <v>75</v>
      </c>
      <c r="G163">
        <v>88</v>
      </c>
      <c r="H163">
        <v>85</v>
      </c>
      <c r="I163" s="1">
        <f>AVERAGE(tblStudents[[#This Row],[Math Score]],tblStudents[[#This Row],[Reading Score]],tblStudents[[#This Row],[Writing Score]])</f>
        <v>82.666666666666671</v>
      </c>
      <c r="J163">
        <f>IF(tblStudents[[#This Row],[Average Score]]&gt;=60,1,0)</f>
        <v>1</v>
      </c>
      <c r="K163" t="str">
        <f>IF(tblStudents[[#This Row],[Average Score]]&gt;=60,"Pass","At Risk")</f>
        <v>Pass</v>
      </c>
      <c r="L163" t="str" cm="1">
        <f t="array" ref="L163">_xlfn.IFS(tblStudents[[#This Row],[Average Score]]&gt;=80,"High",tblStudents[[#This Row],[Average Score]]&gt;=60,"Meets Standard",TRUE,"At Risk")</f>
        <v>High</v>
      </c>
      <c r="M1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64" spans="1:13" x14ac:dyDescent="0.25">
      <c r="A164" t="s">
        <v>9</v>
      </c>
      <c r="B164" t="s">
        <v>1</v>
      </c>
      <c r="C164" t="s">
        <v>8</v>
      </c>
      <c r="D164" t="s">
        <v>12</v>
      </c>
      <c r="E164" t="s">
        <v>4</v>
      </c>
      <c r="F164">
        <v>49</v>
      </c>
      <c r="G164">
        <v>53</v>
      </c>
      <c r="H164">
        <v>52</v>
      </c>
      <c r="I164" s="1">
        <f>AVERAGE(tblStudents[[#This Row],[Math Score]],tblStudents[[#This Row],[Reading Score]],tblStudents[[#This Row],[Writing Score]])</f>
        <v>51.333333333333336</v>
      </c>
      <c r="J164">
        <f>IF(tblStudents[[#This Row],[Average Score]]&gt;=60,1,0)</f>
        <v>0</v>
      </c>
      <c r="K164" t="str">
        <f>IF(tblStudents[[#This Row],[Average Score]]&gt;=60,"Pass","At Risk")</f>
        <v>At Risk</v>
      </c>
      <c r="L164" t="str" cm="1">
        <f t="array" ref="L164">_xlfn.IFS(tblStudents[[#This Row],[Average Score]]&gt;=80,"High",tblStudents[[#This Row],[Average Score]]&gt;=60,"Meets Standard",TRUE,"At Risk")</f>
        <v>At Risk</v>
      </c>
      <c r="M1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65" spans="1:13" x14ac:dyDescent="0.25">
      <c r="A165" t="s">
        <v>9</v>
      </c>
      <c r="B165" t="s">
        <v>5</v>
      </c>
      <c r="C165" t="s">
        <v>14</v>
      </c>
      <c r="D165" t="s">
        <v>3</v>
      </c>
      <c r="E165" t="s">
        <v>4</v>
      </c>
      <c r="F165">
        <v>52</v>
      </c>
      <c r="G165">
        <v>53</v>
      </c>
      <c r="H165">
        <v>49</v>
      </c>
      <c r="I165" s="1">
        <f>AVERAGE(tblStudents[[#This Row],[Math Score]],tblStudents[[#This Row],[Reading Score]],tblStudents[[#This Row],[Writing Score]])</f>
        <v>51.333333333333336</v>
      </c>
      <c r="J165">
        <f>IF(tblStudents[[#This Row],[Average Score]]&gt;=60,1,0)</f>
        <v>0</v>
      </c>
      <c r="K165" t="str">
        <f>IF(tblStudents[[#This Row],[Average Score]]&gt;=60,"Pass","At Risk")</f>
        <v>At Risk</v>
      </c>
      <c r="L165" t="str" cm="1">
        <f t="array" ref="L165">_xlfn.IFS(tblStudents[[#This Row],[Average Score]]&gt;=80,"High",tblStudents[[#This Row],[Average Score]]&gt;=60,"Meets Standard",TRUE,"At Risk")</f>
        <v>At Risk</v>
      </c>
      <c r="M1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66" spans="1:13" x14ac:dyDescent="0.25">
      <c r="A166" t="s">
        <v>0</v>
      </c>
      <c r="B166" t="s">
        <v>16</v>
      </c>
      <c r="C166" t="s">
        <v>8</v>
      </c>
      <c r="D166" t="s">
        <v>3</v>
      </c>
      <c r="E166" t="s">
        <v>4</v>
      </c>
      <c r="F166">
        <v>81</v>
      </c>
      <c r="G166">
        <v>92</v>
      </c>
      <c r="H166">
        <v>91</v>
      </c>
      <c r="I166" s="1">
        <f>AVERAGE(tblStudents[[#This Row],[Math Score]],tblStudents[[#This Row],[Reading Score]],tblStudents[[#This Row],[Writing Score]])</f>
        <v>88</v>
      </c>
      <c r="J166">
        <f>IF(tblStudents[[#This Row],[Average Score]]&gt;=60,1,0)</f>
        <v>1</v>
      </c>
      <c r="K166" t="str">
        <f>IF(tblStudents[[#This Row],[Average Score]]&gt;=60,"Pass","At Risk")</f>
        <v>Pass</v>
      </c>
      <c r="L166" t="str" cm="1">
        <f t="array" ref="L166">_xlfn.IFS(tblStudents[[#This Row],[Average Score]]&gt;=80,"High",tblStudents[[#This Row],[Average Score]]&gt;=60,"Meets Standard",TRUE,"At Risk")</f>
        <v>High</v>
      </c>
      <c r="M1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167" spans="1:13" x14ac:dyDescent="0.25">
      <c r="A167" t="s">
        <v>0</v>
      </c>
      <c r="B167" t="s">
        <v>5</v>
      </c>
      <c r="C167" t="s">
        <v>2</v>
      </c>
      <c r="D167" t="s">
        <v>3</v>
      </c>
      <c r="E167" t="s">
        <v>7</v>
      </c>
      <c r="F167">
        <v>96</v>
      </c>
      <c r="G167">
        <v>100</v>
      </c>
      <c r="H167">
        <v>100</v>
      </c>
      <c r="I167" s="1">
        <f>AVERAGE(tblStudents[[#This Row],[Math Score]],tblStudents[[#This Row],[Reading Score]],tblStudents[[#This Row],[Writing Score]])</f>
        <v>98.666666666666671</v>
      </c>
      <c r="J167">
        <f>IF(tblStudents[[#This Row],[Average Score]]&gt;=60,1,0)</f>
        <v>1</v>
      </c>
      <c r="K167" t="str">
        <f>IF(tblStudents[[#This Row],[Average Score]]&gt;=60,"Pass","At Risk")</f>
        <v>Pass</v>
      </c>
      <c r="L167" t="str" cm="1">
        <f t="array" ref="L167">_xlfn.IFS(tblStudents[[#This Row],[Average Score]]&gt;=80,"High",tblStudents[[#This Row],[Average Score]]&gt;=60,"Meets Standard",TRUE,"At Risk")</f>
        <v>High</v>
      </c>
      <c r="M1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68" spans="1:13" x14ac:dyDescent="0.25">
      <c r="A168" t="s">
        <v>9</v>
      </c>
      <c r="B168" t="s">
        <v>5</v>
      </c>
      <c r="C168" t="s">
        <v>14</v>
      </c>
      <c r="D168" t="s">
        <v>12</v>
      </c>
      <c r="E168" t="s">
        <v>7</v>
      </c>
      <c r="F168">
        <v>53</v>
      </c>
      <c r="G168">
        <v>51</v>
      </c>
      <c r="H168">
        <v>51</v>
      </c>
      <c r="I168" s="1">
        <f>AVERAGE(tblStudents[[#This Row],[Math Score]],tblStudents[[#This Row],[Reading Score]],tblStudents[[#This Row],[Writing Score]])</f>
        <v>51.666666666666664</v>
      </c>
      <c r="J168">
        <f>IF(tblStudents[[#This Row],[Average Score]]&gt;=60,1,0)</f>
        <v>0</v>
      </c>
      <c r="K168" t="str">
        <f>IF(tblStudents[[#This Row],[Average Score]]&gt;=60,"Pass","At Risk")</f>
        <v>At Risk</v>
      </c>
      <c r="L168" t="str" cm="1">
        <f t="array" ref="L168">_xlfn.IFS(tblStudents[[#This Row],[Average Score]]&gt;=80,"High",tblStudents[[#This Row],[Average Score]]&gt;=60,"Meets Standard",TRUE,"At Risk")</f>
        <v>At Risk</v>
      </c>
      <c r="M1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169" spans="1:13" x14ac:dyDescent="0.25">
      <c r="A169" t="s">
        <v>0</v>
      </c>
      <c r="B169" t="s">
        <v>1</v>
      </c>
      <c r="C169" t="s">
        <v>8</v>
      </c>
      <c r="D169" t="s">
        <v>12</v>
      </c>
      <c r="E169" t="s">
        <v>7</v>
      </c>
      <c r="F169">
        <v>58</v>
      </c>
      <c r="G169">
        <v>76</v>
      </c>
      <c r="H169">
        <v>78</v>
      </c>
      <c r="I169" s="1">
        <f>AVERAGE(tblStudents[[#This Row],[Math Score]],tblStudents[[#This Row],[Reading Score]],tblStudents[[#This Row],[Writing Score]])</f>
        <v>70.666666666666671</v>
      </c>
      <c r="J169">
        <f>IF(tblStudents[[#This Row],[Average Score]]&gt;=60,1,0)</f>
        <v>1</v>
      </c>
      <c r="K169" t="str">
        <f>IF(tblStudents[[#This Row],[Average Score]]&gt;=60,"Pass","At Risk")</f>
        <v>Pass</v>
      </c>
      <c r="L169" t="str" cm="1">
        <f t="array" ref="L169">_xlfn.IFS(tblStudents[[#This Row],[Average Score]]&gt;=80,"High",tblStudents[[#This Row],[Average Score]]&gt;=60,"Meets Standard",TRUE,"At Risk")</f>
        <v>Meets Standard</v>
      </c>
      <c r="M1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170" spans="1:13" x14ac:dyDescent="0.25">
      <c r="A170" t="s">
        <v>0</v>
      </c>
      <c r="B170" t="s">
        <v>1</v>
      </c>
      <c r="C170" t="s">
        <v>14</v>
      </c>
      <c r="D170" t="s">
        <v>3</v>
      </c>
      <c r="E170" t="s">
        <v>7</v>
      </c>
      <c r="F170">
        <v>68</v>
      </c>
      <c r="G170">
        <v>83</v>
      </c>
      <c r="H170">
        <v>78</v>
      </c>
      <c r="I170" s="1">
        <f>AVERAGE(tblStudents[[#This Row],[Math Score]],tblStudents[[#This Row],[Reading Score]],tblStudents[[#This Row],[Writing Score]])</f>
        <v>76.333333333333329</v>
      </c>
      <c r="J170">
        <f>IF(tblStudents[[#This Row],[Average Score]]&gt;=60,1,0)</f>
        <v>1</v>
      </c>
      <c r="K170" t="str">
        <f>IF(tblStudents[[#This Row],[Average Score]]&gt;=60,"Pass","At Risk")</f>
        <v>Pass</v>
      </c>
      <c r="L170" t="str" cm="1">
        <f t="array" ref="L170">_xlfn.IFS(tblStudents[[#This Row],[Average Score]]&gt;=80,"High",tblStudents[[#This Row],[Average Score]]&gt;=60,"Meets Standard",TRUE,"At Risk")</f>
        <v>Meets Standard</v>
      </c>
      <c r="M1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171" spans="1:13" x14ac:dyDescent="0.25">
      <c r="A171" t="s">
        <v>0</v>
      </c>
      <c r="B171" t="s">
        <v>5</v>
      </c>
      <c r="C171" t="s">
        <v>6</v>
      </c>
      <c r="D171" t="s">
        <v>12</v>
      </c>
      <c r="E171" t="s">
        <v>7</v>
      </c>
      <c r="F171">
        <v>67</v>
      </c>
      <c r="G171">
        <v>75</v>
      </c>
      <c r="H171">
        <v>70</v>
      </c>
      <c r="I171" s="1">
        <f>AVERAGE(tblStudents[[#This Row],[Math Score]],tblStudents[[#This Row],[Reading Score]],tblStudents[[#This Row],[Writing Score]])</f>
        <v>70.666666666666671</v>
      </c>
      <c r="J171">
        <f>IF(tblStudents[[#This Row],[Average Score]]&gt;=60,1,0)</f>
        <v>1</v>
      </c>
      <c r="K171" t="str">
        <f>IF(tblStudents[[#This Row],[Average Score]]&gt;=60,"Pass","At Risk")</f>
        <v>Pass</v>
      </c>
      <c r="L171" t="str" cm="1">
        <f t="array" ref="L171">_xlfn.IFS(tblStudents[[#This Row],[Average Score]]&gt;=80,"High",tblStudents[[#This Row],[Average Score]]&gt;=60,"Meets Standard",TRUE,"At Risk")</f>
        <v>Meets Standard</v>
      </c>
      <c r="M1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172" spans="1:13" x14ac:dyDescent="0.25">
      <c r="A172" t="s">
        <v>9</v>
      </c>
      <c r="B172" t="s">
        <v>10</v>
      </c>
      <c r="C172" t="s">
        <v>14</v>
      </c>
      <c r="D172" t="s">
        <v>3</v>
      </c>
      <c r="E172" t="s">
        <v>7</v>
      </c>
      <c r="F172">
        <v>72</v>
      </c>
      <c r="G172">
        <v>73</v>
      </c>
      <c r="H172">
        <v>74</v>
      </c>
      <c r="I172" s="1">
        <f>AVERAGE(tblStudents[[#This Row],[Math Score]],tblStudents[[#This Row],[Reading Score]],tblStudents[[#This Row],[Writing Score]])</f>
        <v>73</v>
      </c>
      <c r="J172">
        <f>IF(tblStudents[[#This Row],[Average Score]]&gt;=60,1,0)</f>
        <v>1</v>
      </c>
      <c r="K172" t="str">
        <f>IF(tblStudents[[#This Row],[Average Score]]&gt;=60,"Pass","At Risk")</f>
        <v>Pass</v>
      </c>
      <c r="L172" t="str" cm="1">
        <f t="array" ref="L172">_xlfn.IFS(tblStudents[[#This Row],[Average Score]]&gt;=80,"High",tblStudents[[#This Row],[Average Score]]&gt;=60,"Meets Standard",TRUE,"At Risk")</f>
        <v>Meets Standard</v>
      </c>
      <c r="M1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173" spans="1:13" x14ac:dyDescent="0.25">
      <c r="A173" t="s">
        <v>9</v>
      </c>
      <c r="B173" t="s">
        <v>16</v>
      </c>
      <c r="C173" t="s">
        <v>15</v>
      </c>
      <c r="D173" t="s">
        <v>3</v>
      </c>
      <c r="E173" t="s">
        <v>4</v>
      </c>
      <c r="F173">
        <v>94</v>
      </c>
      <c r="G173">
        <v>88</v>
      </c>
      <c r="H173">
        <v>78</v>
      </c>
      <c r="I173" s="1">
        <f>AVERAGE(tblStudents[[#This Row],[Math Score]],tblStudents[[#This Row],[Reading Score]],tblStudents[[#This Row],[Writing Score]])</f>
        <v>86.666666666666671</v>
      </c>
      <c r="J173">
        <f>IF(tblStudents[[#This Row],[Average Score]]&gt;=60,1,0)</f>
        <v>1</v>
      </c>
      <c r="K173" t="str">
        <f>IF(tblStudents[[#This Row],[Average Score]]&gt;=60,"Pass","At Risk")</f>
        <v>Pass</v>
      </c>
      <c r="L173" t="str" cm="1">
        <f t="array" ref="L173">_xlfn.IFS(tblStudents[[#This Row],[Average Score]]&gt;=80,"High",tblStudents[[#This Row],[Average Score]]&gt;=60,"Meets Standard",TRUE,"At Risk")</f>
        <v>High</v>
      </c>
      <c r="M1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174" spans="1:13" x14ac:dyDescent="0.25">
      <c r="A174" t="s">
        <v>0</v>
      </c>
      <c r="B174" t="s">
        <v>13</v>
      </c>
      <c r="C174" t="s">
        <v>6</v>
      </c>
      <c r="D174" t="s">
        <v>3</v>
      </c>
      <c r="E174" t="s">
        <v>4</v>
      </c>
      <c r="F174">
        <v>79</v>
      </c>
      <c r="G174">
        <v>86</v>
      </c>
      <c r="H174">
        <v>81</v>
      </c>
      <c r="I174" s="1">
        <f>AVERAGE(tblStudents[[#This Row],[Math Score]],tblStudents[[#This Row],[Reading Score]],tblStudents[[#This Row],[Writing Score]])</f>
        <v>82</v>
      </c>
      <c r="J174">
        <f>IF(tblStudents[[#This Row],[Average Score]]&gt;=60,1,0)</f>
        <v>1</v>
      </c>
      <c r="K174" t="str">
        <f>IF(tblStudents[[#This Row],[Average Score]]&gt;=60,"Pass","At Risk")</f>
        <v>Pass</v>
      </c>
      <c r="L174" t="str" cm="1">
        <f t="array" ref="L174">_xlfn.IFS(tblStudents[[#This Row],[Average Score]]&gt;=80,"High",tblStudents[[#This Row],[Average Score]]&gt;=60,"Meets Standard",TRUE,"At Risk")</f>
        <v>High</v>
      </c>
      <c r="M1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75" spans="1:13" x14ac:dyDescent="0.25">
      <c r="A175" t="s">
        <v>0</v>
      </c>
      <c r="B175" t="s">
        <v>5</v>
      </c>
      <c r="C175" t="s">
        <v>11</v>
      </c>
      <c r="D175" t="s">
        <v>3</v>
      </c>
      <c r="E175" t="s">
        <v>4</v>
      </c>
      <c r="F175">
        <v>63</v>
      </c>
      <c r="G175">
        <v>67</v>
      </c>
      <c r="H175">
        <v>70</v>
      </c>
      <c r="I175" s="1">
        <f>AVERAGE(tblStudents[[#This Row],[Math Score]],tblStudents[[#This Row],[Reading Score]],tblStudents[[#This Row],[Writing Score]])</f>
        <v>66.666666666666671</v>
      </c>
      <c r="J175">
        <f>IF(tblStudents[[#This Row],[Average Score]]&gt;=60,1,0)</f>
        <v>1</v>
      </c>
      <c r="K175" t="str">
        <f>IF(tblStudents[[#This Row],[Average Score]]&gt;=60,"Pass","At Risk")</f>
        <v>Pass</v>
      </c>
      <c r="L175" t="str" cm="1">
        <f t="array" ref="L175">_xlfn.IFS(tblStudents[[#This Row],[Average Score]]&gt;=80,"High",tblStudents[[#This Row],[Average Score]]&gt;=60,"Meets Standard",TRUE,"At Risk")</f>
        <v>Meets Standard</v>
      </c>
      <c r="M1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76" spans="1:13" x14ac:dyDescent="0.25">
      <c r="A176" t="s">
        <v>0</v>
      </c>
      <c r="B176" t="s">
        <v>5</v>
      </c>
      <c r="C176" t="s">
        <v>2</v>
      </c>
      <c r="D176" t="s">
        <v>12</v>
      </c>
      <c r="E176" t="s">
        <v>7</v>
      </c>
      <c r="F176">
        <v>43</v>
      </c>
      <c r="G176">
        <v>51</v>
      </c>
      <c r="H176">
        <v>54</v>
      </c>
      <c r="I176" s="1">
        <f>AVERAGE(tblStudents[[#This Row],[Math Score]],tblStudents[[#This Row],[Reading Score]],tblStudents[[#This Row],[Writing Score]])</f>
        <v>49.333333333333336</v>
      </c>
      <c r="J176">
        <f>IF(tblStudents[[#This Row],[Average Score]]&gt;=60,1,0)</f>
        <v>0</v>
      </c>
      <c r="K176" t="str">
        <f>IF(tblStudents[[#This Row],[Average Score]]&gt;=60,"Pass","At Risk")</f>
        <v>At Risk</v>
      </c>
      <c r="L176" t="str" cm="1">
        <f t="array" ref="L176">_xlfn.IFS(tblStudents[[#This Row],[Average Score]]&gt;=80,"High",tblStudents[[#This Row],[Average Score]]&gt;=60,"Meets Standard",TRUE,"At Risk")</f>
        <v>At Risk</v>
      </c>
      <c r="M1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177" spans="1:13" x14ac:dyDescent="0.25">
      <c r="A177" t="s">
        <v>0</v>
      </c>
      <c r="B177" t="s">
        <v>5</v>
      </c>
      <c r="C177" t="s">
        <v>8</v>
      </c>
      <c r="D177" t="s">
        <v>3</v>
      </c>
      <c r="E177" t="s">
        <v>7</v>
      </c>
      <c r="F177">
        <v>81</v>
      </c>
      <c r="G177">
        <v>91</v>
      </c>
      <c r="H177">
        <v>87</v>
      </c>
      <c r="I177" s="1">
        <f>AVERAGE(tblStudents[[#This Row],[Math Score]],tblStudents[[#This Row],[Reading Score]],tblStudents[[#This Row],[Writing Score]])</f>
        <v>86.333333333333329</v>
      </c>
      <c r="J177">
        <f>IF(tblStudents[[#This Row],[Average Score]]&gt;=60,1,0)</f>
        <v>1</v>
      </c>
      <c r="K177" t="str">
        <f>IF(tblStudents[[#This Row],[Average Score]]&gt;=60,"Pass","At Risk")</f>
        <v>Pass</v>
      </c>
      <c r="L177" t="str" cm="1">
        <f t="array" ref="L177">_xlfn.IFS(tblStudents[[#This Row],[Average Score]]&gt;=80,"High",tblStudents[[#This Row],[Average Score]]&gt;=60,"Meets Standard",TRUE,"At Risk")</f>
        <v>High</v>
      </c>
      <c r="M1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78" spans="1:13" x14ac:dyDescent="0.25">
      <c r="A178" t="s">
        <v>0</v>
      </c>
      <c r="B178" t="s">
        <v>1</v>
      </c>
      <c r="C178" t="s">
        <v>14</v>
      </c>
      <c r="D178" t="s">
        <v>12</v>
      </c>
      <c r="E178" t="s">
        <v>7</v>
      </c>
      <c r="F178">
        <v>46</v>
      </c>
      <c r="G178">
        <v>54</v>
      </c>
      <c r="H178">
        <v>58</v>
      </c>
      <c r="I178" s="1">
        <f>AVERAGE(tblStudents[[#This Row],[Math Score]],tblStudents[[#This Row],[Reading Score]],tblStudents[[#This Row],[Writing Score]])</f>
        <v>52.666666666666664</v>
      </c>
      <c r="J178">
        <f>IF(tblStudents[[#This Row],[Average Score]]&gt;=60,1,0)</f>
        <v>0</v>
      </c>
      <c r="K178" t="str">
        <f>IF(tblStudents[[#This Row],[Average Score]]&gt;=60,"Pass","At Risk")</f>
        <v>At Risk</v>
      </c>
      <c r="L178" t="str" cm="1">
        <f t="array" ref="L178">_xlfn.IFS(tblStudents[[#This Row],[Average Score]]&gt;=80,"High",tblStudents[[#This Row],[Average Score]]&gt;=60,"Meets Standard",TRUE,"At Risk")</f>
        <v>At Risk</v>
      </c>
      <c r="M1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79" spans="1:13" x14ac:dyDescent="0.25">
      <c r="A179" t="s">
        <v>0</v>
      </c>
      <c r="B179" t="s">
        <v>5</v>
      </c>
      <c r="C179" t="s">
        <v>11</v>
      </c>
      <c r="D179" t="s">
        <v>3</v>
      </c>
      <c r="E179" t="s">
        <v>7</v>
      </c>
      <c r="F179">
        <v>71</v>
      </c>
      <c r="G179">
        <v>77</v>
      </c>
      <c r="H179">
        <v>77</v>
      </c>
      <c r="I179" s="1">
        <f>AVERAGE(tblStudents[[#This Row],[Math Score]],tblStudents[[#This Row],[Reading Score]],tblStudents[[#This Row],[Writing Score]])</f>
        <v>75</v>
      </c>
      <c r="J179">
        <f>IF(tblStudents[[#This Row],[Average Score]]&gt;=60,1,0)</f>
        <v>1</v>
      </c>
      <c r="K179" t="str">
        <f>IF(tblStudents[[#This Row],[Average Score]]&gt;=60,"Pass","At Risk")</f>
        <v>Pass</v>
      </c>
      <c r="L179" t="str" cm="1">
        <f t="array" ref="L179">_xlfn.IFS(tblStudents[[#This Row],[Average Score]]&gt;=80,"High",tblStudents[[#This Row],[Average Score]]&gt;=60,"Meets Standard",TRUE,"At Risk")</f>
        <v>Meets Standard</v>
      </c>
      <c r="M1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180" spans="1:13" x14ac:dyDescent="0.25">
      <c r="A180" t="s">
        <v>0</v>
      </c>
      <c r="B180" t="s">
        <v>1</v>
      </c>
      <c r="C180" t="s">
        <v>8</v>
      </c>
      <c r="D180" t="s">
        <v>12</v>
      </c>
      <c r="E180" t="s">
        <v>7</v>
      </c>
      <c r="F180">
        <v>52</v>
      </c>
      <c r="G180">
        <v>70</v>
      </c>
      <c r="H180">
        <v>62</v>
      </c>
      <c r="I180" s="1">
        <f>AVERAGE(tblStudents[[#This Row],[Math Score]],tblStudents[[#This Row],[Reading Score]],tblStudents[[#This Row],[Writing Score]])</f>
        <v>61.333333333333336</v>
      </c>
      <c r="J180">
        <f>IF(tblStudents[[#This Row],[Average Score]]&gt;=60,1,0)</f>
        <v>1</v>
      </c>
      <c r="K180" t="str">
        <f>IF(tblStudents[[#This Row],[Average Score]]&gt;=60,"Pass","At Risk")</f>
        <v>Pass</v>
      </c>
      <c r="L180" t="str" cm="1">
        <f t="array" ref="L180">_xlfn.IFS(tblStudents[[#This Row],[Average Score]]&gt;=80,"High",tblStudents[[#This Row],[Average Score]]&gt;=60,"Meets Standard",TRUE,"At Risk")</f>
        <v>Meets Standard</v>
      </c>
      <c r="M1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181" spans="1:13" x14ac:dyDescent="0.25">
      <c r="A181" t="s">
        <v>0</v>
      </c>
      <c r="B181" t="s">
        <v>13</v>
      </c>
      <c r="C181" t="s">
        <v>15</v>
      </c>
      <c r="D181" t="s">
        <v>3</v>
      </c>
      <c r="E181" t="s">
        <v>7</v>
      </c>
      <c r="F181">
        <v>97</v>
      </c>
      <c r="G181">
        <v>100</v>
      </c>
      <c r="H181">
        <v>100</v>
      </c>
      <c r="I181" s="1">
        <f>AVERAGE(tblStudents[[#This Row],[Math Score]],tblStudents[[#This Row],[Reading Score]],tblStudents[[#This Row],[Writing Score]])</f>
        <v>99</v>
      </c>
      <c r="J181">
        <f>IF(tblStudents[[#This Row],[Average Score]]&gt;=60,1,0)</f>
        <v>1</v>
      </c>
      <c r="K181" t="str">
        <f>IF(tblStudents[[#This Row],[Average Score]]&gt;=60,"Pass","At Risk")</f>
        <v>Pass</v>
      </c>
      <c r="L181" t="str" cm="1">
        <f t="array" ref="L181">_xlfn.IFS(tblStudents[[#This Row],[Average Score]]&gt;=80,"High",tblStudents[[#This Row],[Average Score]]&gt;=60,"Meets Standard",TRUE,"At Risk")</f>
        <v>High</v>
      </c>
      <c r="M1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182" spans="1:13" x14ac:dyDescent="0.25">
      <c r="A182" t="s">
        <v>9</v>
      </c>
      <c r="B182" t="s">
        <v>5</v>
      </c>
      <c r="C182" t="s">
        <v>8</v>
      </c>
      <c r="D182" t="s">
        <v>12</v>
      </c>
      <c r="E182" t="s">
        <v>7</v>
      </c>
      <c r="F182">
        <v>62</v>
      </c>
      <c r="G182">
        <v>68</v>
      </c>
      <c r="H182">
        <v>75</v>
      </c>
      <c r="I182" s="1">
        <f>AVERAGE(tblStudents[[#This Row],[Math Score]],tblStudents[[#This Row],[Reading Score]],tblStudents[[#This Row],[Writing Score]])</f>
        <v>68.333333333333329</v>
      </c>
      <c r="J182">
        <f>IF(tblStudents[[#This Row],[Average Score]]&gt;=60,1,0)</f>
        <v>1</v>
      </c>
      <c r="K182" t="str">
        <f>IF(tblStudents[[#This Row],[Average Score]]&gt;=60,"Pass","At Risk")</f>
        <v>Pass</v>
      </c>
      <c r="L182" t="str" cm="1">
        <f t="array" ref="L182">_xlfn.IFS(tblStudents[[#This Row],[Average Score]]&gt;=80,"High",tblStudents[[#This Row],[Average Score]]&gt;=60,"Meets Standard",TRUE,"At Risk")</f>
        <v>Meets Standard</v>
      </c>
      <c r="M1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183" spans="1:13" x14ac:dyDescent="0.25">
      <c r="A183" t="s">
        <v>0</v>
      </c>
      <c r="B183" t="s">
        <v>5</v>
      </c>
      <c r="C183" t="s">
        <v>6</v>
      </c>
      <c r="D183" t="s">
        <v>12</v>
      </c>
      <c r="E183" t="s">
        <v>4</v>
      </c>
      <c r="F183">
        <v>46</v>
      </c>
      <c r="G183">
        <v>64</v>
      </c>
      <c r="H183">
        <v>66</v>
      </c>
      <c r="I183" s="1">
        <f>AVERAGE(tblStudents[[#This Row],[Math Score]],tblStudents[[#This Row],[Reading Score]],tblStudents[[#This Row],[Writing Score]])</f>
        <v>58.666666666666664</v>
      </c>
      <c r="J183">
        <f>IF(tblStudents[[#This Row],[Average Score]]&gt;=60,1,0)</f>
        <v>0</v>
      </c>
      <c r="K183" t="str">
        <f>IF(tblStudents[[#This Row],[Average Score]]&gt;=60,"Pass","At Risk")</f>
        <v>At Risk</v>
      </c>
      <c r="L183" t="str" cm="1">
        <f t="array" ref="L183">_xlfn.IFS(tblStudents[[#This Row],[Average Score]]&gt;=80,"High",tblStudents[[#This Row],[Average Score]]&gt;=60,"Meets Standard",TRUE,"At Risk")</f>
        <v>At Risk</v>
      </c>
      <c r="M1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184" spans="1:13" x14ac:dyDescent="0.25">
      <c r="A184" t="s">
        <v>0</v>
      </c>
      <c r="B184" t="s">
        <v>16</v>
      </c>
      <c r="C184" t="s">
        <v>14</v>
      </c>
      <c r="D184" t="s">
        <v>3</v>
      </c>
      <c r="E184" t="s">
        <v>4</v>
      </c>
      <c r="F184">
        <v>50</v>
      </c>
      <c r="G184">
        <v>50</v>
      </c>
      <c r="H184">
        <v>47</v>
      </c>
      <c r="I184" s="1">
        <f>AVERAGE(tblStudents[[#This Row],[Math Score]],tblStudents[[#This Row],[Reading Score]],tblStudents[[#This Row],[Writing Score]])</f>
        <v>49</v>
      </c>
      <c r="J184">
        <f>IF(tblStudents[[#This Row],[Average Score]]&gt;=60,1,0)</f>
        <v>0</v>
      </c>
      <c r="K184" t="str">
        <f>IF(tblStudents[[#This Row],[Average Score]]&gt;=60,"Pass","At Risk")</f>
        <v>At Risk</v>
      </c>
      <c r="L184" t="str" cm="1">
        <f t="array" ref="L184">_xlfn.IFS(tblStudents[[#This Row],[Average Score]]&gt;=80,"High",tblStudents[[#This Row],[Average Score]]&gt;=60,"Meets Standard",TRUE,"At Risk")</f>
        <v>At Risk</v>
      </c>
      <c r="M1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185" spans="1:13" x14ac:dyDescent="0.25">
      <c r="A185" t="s">
        <v>0</v>
      </c>
      <c r="B185" t="s">
        <v>13</v>
      </c>
      <c r="C185" t="s">
        <v>11</v>
      </c>
      <c r="D185" t="s">
        <v>3</v>
      </c>
      <c r="E185" t="s">
        <v>4</v>
      </c>
      <c r="F185">
        <v>65</v>
      </c>
      <c r="G185">
        <v>69</v>
      </c>
      <c r="H185">
        <v>70</v>
      </c>
      <c r="I185" s="1">
        <f>AVERAGE(tblStudents[[#This Row],[Math Score]],tblStudents[[#This Row],[Reading Score]],tblStudents[[#This Row],[Writing Score]])</f>
        <v>68</v>
      </c>
      <c r="J185">
        <f>IF(tblStudents[[#This Row],[Average Score]]&gt;=60,1,0)</f>
        <v>1</v>
      </c>
      <c r="K185" t="str">
        <f>IF(tblStudents[[#This Row],[Average Score]]&gt;=60,"Pass","At Risk")</f>
        <v>Pass</v>
      </c>
      <c r="L185" t="str" cm="1">
        <f t="array" ref="L185">_xlfn.IFS(tblStudents[[#This Row],[Average Score]]&gt;=80,"High",tblStudents[[#This Row],[Average Score]]&gt;=60,"Meets Standard",TRUE,"At Risk")</f>
        <v>Meets Standard</v>
      </c>
      <c r="M1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186" spans="1:13" x14ac:dyDescent="0.25">
      <c r="A186" t="s">
        <v>9</v>
      </c>
      <c r="B186" t="s">
        <v>5</v>
      </c>
      <c r="C186" t="s">
        <v>15</v>
      </c>
      <c r="D186" t="s">
        <v>12</v>
      </c>
      <c r="E186" t="s">
        <v>7</v>
      </c>
      <c r="F186">
        <v>45</v>
      </c>
      <c r="G186">
        <v>52</v>
      </c>
      <c r="H186">
        <v>49</v>
      </c>
      <c r="I186" s="1">
        <f>AVERAGE(tblStudents[[#This Row],[Math Score]],tblStudents[[#This Row],[Reading Score]],tblStudents[[#This Row],[Writing Score]])</f>
        <v>48.666666666666664</v>
      </c>
      <c r="J186">
        <f>IF(tblStudents[[#This Row],[Average Score]]&gt;=60,1,0)</f>
        <v>0</v>
      </c>
      <c r="K186" t="str">
        <f>IF(tblStudents[[#This Row],[Average Score]]&gt;=60,"Pass","At Risk")</f>
        <v>At Risk</v>
      </c>
      <c r="L186" t="str" cm="1">
        <f t="array" ref="L186">_xlfn.IFS(tblStudents[[#This Row],[Average Score]]&gt;=80,"High",tblStudents[[#This Row],[Average Score]]&gt;=60,"Meets Standard",TRUE,"At Risk")</f>
        <v>At Risk</v>
      </c>
      <c r="M1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87" spans="1:13" x14ac:dyDescent="0.25">
      <c r="A187" t="s">
        <v>9</v>
      </c>
      <c r="B187" t="s">
        <v>5</v>
      </c>
      <c r="C187" t="s">
        <v>11</v>
      </c>
      <c r="D187" t="s">
        <v>12</v>
      </c>
      <c r="E187" t="s">
        <v>7</v>
      </c>
      <c r="F187">
        <v>65</v>
      </c>
      <c r="G187">
        <v>67</v>
      </c>
      <c r="H187">
        <v>65</v>
      </c>
      <c r="I187" s="1">
        <f>AVERAGE(tblStudents[[#This Row],[Math Score]],tblStudents[[#This Row],[Reading Score]],tblStudents[[#This Row],[Writing Score]])</f>
        <v>65.666666666666671</v>
      </c>
      <c r="J187">
        <f>IF(tblStudents[[#This Row],[Average Score]]&gt;=60,1,0)</f>
        <v>1</v>
      </c>
      <c r="K187" t="str">
        <f>IF(tblStudents[[#This Row],[Average Score]]&gt;=60,"Pass","At Risk")</f>
        <v>Pass</v>
      </c>
      <c r="L187" t="str" cm="1">
        <f t="array" ref="L187">_xlfn.IFS(tblStudents[[#This Row],[Average Score]]&gt;=80,"High",tblStudents[[#This Row],[Average Score]]&gt;=60,"Meets Standard",TRUE,"At Risk")</f>
        <v>Meets Standard</v>
      </c>
      <c r="M1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188" spans="1:13" x14ac:dyDescent="0.25">
      <c r="A188" t="s">
        <v>9</v>
      </c>
      <c r="B188" t="s">
        <v>16</v>
      </c>
      <c r="C188" t="s">
        <v>14</v>
      </c>
      <c r="D188" t="s">
        <v>3</v>
      </c>
      <c r="E188" t="s">
        <v>4</v>
      </c>
      <c r="F188">
        <v>80</v>
      </c>
      <c r="G188">
        <v>76</v>
      </c>
      <c r="H188">
        <v>65</v>
      </c>
      <c r="I188" s="1">
        <f>AVERAGE(tblStudents[[#This Row],[Math Score]],tblStudents[[#This Row],[Reading Score]],tblStudents[[#This Row],[Writing Score]])</f>
        <v>73.666666666666671</v>
      </c>
      <c r="J188">
        <f>IF(tblStudents[[#This Row],[Average Score]]&gt;=60,1,0)</f>
        <v>1</v>
      </c>
      <c r="K188" t="str">
        <f>IF(tblStudents[[#This Row],[Average Score]]&gt;=60,"Pass","At Risk")</f>
        <v>Pass</v>
      </c>
      <c r="L188" t="str" cm="1">
        <f t="array" ref="L188">_xlfn.IFS(tblStudents[[#This Row],[Average Score]]&gt;=80,"High",tblStudents[[#This Row],[Average Score]]&gt;=60,"Meets Standard",TRUE,"At Risk")</f>
        <v>Meets Standard</v>
      </c>
      <c r="M1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189" spans="1:13" x14ac:dyDescent="0.25">
      <c r="A189" t="s">
        <v>9</v>
      </c>
      <c r="B189" t="s">
        <v>13</v>
      </c>
      <c r="C189" t="s">
        <v>15</v>
      </c>
      <c r="D189" t="s">
        <v>3</v>
      </c>
      <c r="E189" t="s">
        <v>7</v>
      </c>
      <c r="F189">
        <v>62</v>
      </c>
      <c r="G189">
        <v>66</v>
      </c>
      <c r="H189">
        <v>68</v>
      </c>
      <c r="I189" s="1">
        <f>AVERAGE(tblStudents[[#This Row],[Math Score]],tblStudents[[#This Row],[Reading Score]],tblStudents[[#This Row],[Writing Score]])</f>
        <v>65.333333333333329</v>
      </c>
      <c r="J189">
        <f>IF(tblStudents[[#This Row],[Average Score]]&gt;=60,1,0)</f>
        <v>1</v>
      </c>
      <c r="K189" t="str">
        <f>IF(tblStudents[[#This Row],[Average Score]]&gt;=60,"Pass","At Risk")</f>
        <v>Pass</v>
      </c>
      <c r="L189" t="str" cm="1">
        <f t="array" ref="L189">_xlfn.IFS(tblStudents[[#This Row],[Average Score]]&gt;=80,"High",tblStudents[[#This Row],[Average Score]]&gt;=60,"Meets Standard",TRUE,"At Risk")</f>
        <v>Meets Standard</v>
      </c>
      <c r="M1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190" spans="1:13" x14ac:dyDescent="0.25">
      <c r="A190" t="s">
        <v>9</v>
      </c>
      <c r="B190" t="s">
        <v>1</v>
      </c>
      <c r="C190" t="s">
        <v>15</v>
      </c>
      <c r="D190" t="s">
        <v>12</v>
      </c>
      <c r="E190" t="s">
        <v>4</v>
      </c>
      <c r="F190">
        <v>48</v>
      </c>
      <c r="G190">
        <v>52</v>
      </c>
      <c r="H190">
        <v>45</v>
      </c>
      <c r="I190" s="1">
        <f>AVERAGE(tblStudents[[#This Row],[Math Score]],tblStudents[[#This Row],[Reading Score]],tblStudents[[#This Row],[Writing Score]])</f>
        <v>48.333333333333336</v>
      </c>
      <c r="J190">
        <f>IF(tblStudents[[#This Row],[Average Score]]&gt;=60,1,0)</f>
        <v>0</v>
      </c>
      <c r="K190" t="str">
        <f>IF(tblStudents[[#This Row],[Average Score]]&gt;=60,"Pass","At Risk")</f>
        <v>At Risk</v>
      </c>
      <c r="L190" t="str" cm="1">
        <f t="array" ref="L190">_xlfn.IFS(tblStudents[[#This Row],[Average Score]]&gt;=80,"High",tblStudents[[#This Row],[Average Score]]&gt;=60,"Meets Standard",TRUE,"At Risk")</f>
        <v>At Risk</v>
      </c>
      <c r="M1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91" spans="1:13" x14ac:dyDescent="0.25">
      <c r="A191" t="s">
        <v>0</v>
      </c>
      <c r="B191" t="s">
        <v>5</v>
      </c>
      <c r="C191" t="s">
        <v>2</v>
      </c>
      <c r="D191" t="s">
        <v>3</v>
      </c>
      <c r="E191" t="s">
        <v>4</v>
      </c>
      <c r="F191">
        <v>77</v>
      </c>
      <c r="G191">
        <v>88</v>
      </c>
      <c r="H191">
        <v>87</v>
      </c>
      <c r="I191" s="1">
        <f>AVERAGE(tblStudents[[#This Row],[Math Score]],tblStudents[[#This Row],[Reading Score]],tblStudents[[#This Row],[Writing Score]])</f>
        <v>84</v>
      </c>
      <c r="J191">
        <f>IF(tblStudents[[#This Row],[Average Score]]&gt;=60,1,0)</f>
        <v>1</v>
      </c>
      <c r="K191" t="str">
        <f>IF(tblStudents[[#This Row],[Average Score]]&gt;=60,"Pass","At Risk")</f>
        <v>Pass</v>
      </c>
      <c r="L191" t="str" cm="1">
        <f t="array" ref="L191">_xlfn.IFS(tblStudents[[#This Row],[Average Score]]&gt;=80,"High",tblStudents[[#This Row],[Average Score]]&gt;=60,"Meets Standard",TRUE,"At Risk")</f>
        <v>High</v>
      </c>
      <c r="M1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192" spans="1:13" x14ac:dyDescent="0.25">
      <c r="A192" t="s">
        <v>0</v>
      </c>
      <c r="B192" t="s">
        <v>16</v>
      </c>
      <c r="C192" t="s">
        <v>11</v>
      </c>
      <c r="D192" t="s">
        <v>3</v>
      </c>
      <c r="E192" t="s">
        <v>4</v>
      </c>
      <c r="F192">
        <v>66</v>
      </c>
      <c r="G192">
        <v>65</v>
      </c>
      <c r="H192">
        <v>69</v>
      </c>
      <c r="I192" s="1">
        <f>AVERAGE(tblStudents[[#This Row],[Math Score]],tblStudents[[#This Row],[Reading Score]],tblStudents[[#This Row],[Writing Score]])</f>
        <v>66.666666666666671</v>
      </c>
      <c r="J192">
        <f>IF(tblStudents[[#This Row],[Average Score]]&gt;=60,1,0)</f>
        <v>1</v>
      </c>
      <c r="K192" t="str">
        <f>IF(tblStudents[[#This Row],[Average Score]]&gt;=60,"Pass","At Risk")</f>
        <v>Pass</v>
      </c>
      <c r="L192" t="str" cm="1">
        <f t="array" ref="L192">_xlfn.IFS(tblStudents[[#This Row],[Average Score]]&gt;=80,"High",tblStudents[[#This Row],[Average Score]]&gt;=60,"Meets Standard",TRUE,"At Risk")</f>
        <v>Meets Standard</v>
      </c>
      <c r="M1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93" spans="1:13" x14ac:dyDescent="0.25">
      <c r="A193" t="s">
        <v>9</v>
      </c>
      <c r="B193" t="s">
        <v>13</v>
      </c>
      <c r="C193" t="s">
        <v>6</v>
      </c>
      <c r="D193" t="s">
        <v>3</v>
      </c>
      <c r="E193" t="s">
        <v>7</v>
      </c>
      <c r="F193">
        <v>76</v>
      </c>
      <c r="G193">
        <v>83</v>
      </c>
      <c r="H193">
        <v>79</v>
      </c>
      <c r="I193" s="1">
        <f>AVERAGE(tblStudents[[#This Row],[Math Score]],tblStudents[[#This Row],[Reading Score]],tblStudents[[#This Row],[Writing Score]])</f>
        <v>79.333333333333329</v>
      </c>
      <c r="J193">
        <f>IF(tblStudents[[#This Row],[Average Score]]&gt;=60,1,0)</f>
        <v>1</v>
      </c>
      <c r="K193" t="str">
        <f>IF(tblStudents[[#This Row],[Average Score]]&gt;=60,"Pass","At Risk")</f>
        <v>Pass</v>
      </c>
      <c r="L193" t="str" cm="1">
        <f t="array" ref="L193">_xlfn.IFS(tblStudents[[#This Row],[Average Score]]&gt;=80,"High",tblStudents[[#This Row],[Average Score]]&gt;=60,"Meets Standard",TRUE,"At Risk")</f>
        <v>Meets Standard</v>
      </c>
      <c r="M1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194" spans="1:13" x14ac:dyDescent="0.25">
      <c r="A194" t="s">
        <v>0</v>
      </c>
      <c r="B194" t="s">
        <v>1</v>
      </c>
      <c r="C194" t="s">
        <v>15</v>
      </c>
      <c r="D194" t="s">
        <v>3</v>
      </c>
      <c r="E194" t="s">
        <v>4</v>
      </c>
      <c r="F194">
        <v>62</v>
      </c>
      <c r="G194">
        <v>64</v>
      </c>
      <c r="H194">
        <v>66</v>
      </c>
      <c r="I194" s="1">
        <f>AVERAGE(tblStudents[[#This Row],[Math Score]],tblStudents[[#This Row],[Reading Score]],tblStudents[[#This Row],[Writing Score]])</f>
        <v>64</v>
      </c>
      <c r="J194">
        <f>IF(tblStudents[[#This Row],[Average Score]]&gt;=60,1,0)</f>
        <v>1</v>
      </c>
      <c r="K194" t="str">
        <f>IF(tblStudents[[#This Row],[Average Score]]&gt;=60,"Pass","At Risk")</f>
        <v>Pass</v>
      </c>
      <c r="L194" t="str" cm="1">
        <f t="array" ref="L194">_xlfn.IFS(tblStudents[[#This Row],[Average Score]]&gt;=80,"High",tblStudents[[#This Row],[Average Score]]&gt;=60,"Meets Standard",TRUE,"At Risk")</f>
        <v>Meets Standard</v>
      </c>
      <c r="M1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195" spans="1:13" x14ac:dyDescent="0.25">
      <c r="A195" t="s">
        <v>9</v>
      </c>
      <c r="B195" t="s">
        <v>13</v>
      </c>
      <c r="C195" t="s">
        <v>6</v>
      </c>
      <c r="D195" t="s">
        <v>3</v>
      </c>
      <c r="E195" t="s">
        <v>7</v>
      </c>
      <c r="F195">
        <v>77</v>
      </c>
      <c r="G195">
        <v>62</v>
      </c>
      <c r="H195">
        <v>62</v>
      </c>
      <c r="I195" s="1">
        <f>AVERAGE(tblStudents[[#This Row],[Math Score]],tblStudents[[#This Row],[Reading Score]],tblStudents[[#This Row],[Writing Score]])</f>
        <v>67</v>
      </c>
      <c r="J195">
        <f>IF(tblStudents[[#This Row],[Average Score]]&gt;=60,1,0)</f>
        <v>1</v>
      </c>
      <c r="K195" t="str">
        <f>IF(tblStudents[[#This Row],[Average Score]]&gt;=60,"Pass","At Risk")</f>
        <v>Pass</v>
      </c>
      <c r="L195" t="str" cm="1">
        <f t="array" ref="L195">_xlfn.IFS(tblStudents[[#This Row],[Average Score]]&gt;=80,"High",tblStudents[[#This Row],[Average Score]]&gt;=60,"Meets Standard",TRUE,"At Risk")</f>
        <v>Meets Standard</v>
      </c>
      <c r="M1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196" spans="1:13" x14ac:dyDescent="0.25">
      <c r="A196" t="s">
        <v>0</v>
      </c>
      <c r="B196" t="s">
        <v>5</v>
      </c>
      <c r="C196" t="s">
        <v>8</v>
      </c>
      <c r="D196" t="s">
        <v>3</v>
      </c>
      <c r="E196" t="s">
        <v>7</v>
      </c>
      <c r="F196">
        <v>69</v>
      </c>
      <c r="G196">
        <v>84</v>
      </c>
      <c r="H196">
        <v>85</v>
      </c>
      <c r="I196" s="1">
        <f>AVERAGE(tblStudents[[#This Row],[Math Score]],tblStudents[[#This Row],[Reading Score]],tblStudents[[#This Row],[Writing Score]])</f>
        <v>79.333333333333329</v>
      </c>
      <c r="J196">
        <f>IF(tblStudents[[#This Row],[Average Score]]&gt;=60,1,0)</f>
        <v>1</v>
      </c>
      <c r="K196" t="str">
        <f>IF(tblStudents[[#This Row],[Average Score]]&gt;=60,"Pass","At Risk")</f>
        <v>Pass</v>
      </c>
      <c r="L196" t="str" cm="1">
        <f t="array" ref="L196">_xlfn.IFS(tblStudents[[#This Row],[Average Score]]&gt;=80,"High",tblStudents[[#This Row],[Average Score]]&gt;=60,"Meets Standard",TRUE,"At Risk")</f>
        <v>Meets Standard</v>
      </c>
      <c r="M1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197" spans="1:13" x14ac:dyDescent="0.25">
      <c r="A197" t="s">
        <v>9</v>
      </c>
      <c r="B197" t="s">
        <v>13</v>
      </c>
      <c r="C197" t="s">
        <v>11</v>
      </c>
      <c r="D197" t="s">
        <v>3</v>
      </c>
      <c r="E197" t="s">
        <v>4</v>
      </c>
      <c r="F197">
        <v>61</v>
      </c>
      <c r="G197">
        <v>55</v>
      </c>
      <c r="H197">
        <v>52</v>
      </c>
      <c r="I197" s="1">
        <f>AVERAGE(tblStudents[[#This Row],[Math Score]],tblStudents[[#This Row],[Reading Score]],tblStudents[[#This Row],[Writing Score]])</f>
        <v>56</v>
      </c>
      <c r="J197">
        <f>IF(tblStudents[[#This Row],[Average Score]]&gt;=60,1,0)</f>
        <v>0</v>
      </c>
      <c r="K197" t="str">
        <f>IF(tblStudents[[#This Row],[Average Score]]&gt;=60,"Pass","At Risk")</f>
        <v>At Risk</v>
      </c>
      <c r="L197" t="str" cm="1">
        <f t="array" ref="L197">_xlfn.IFS(tblStudents[[#This Row],[Average Score]]&gt;=80,"High",tblStudents[[#This Row],[Average Score]]&gt;=60,"Meets Standard",TRUE,"At Risk")</f>
        <v>At Risk</v>
      </c>
      <c r="M1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198" spans="1:13" x14ac:dyDescent="0.25">
      <c r="A198" t="s">
        <v>9</v>
      </c>
      <c r="B198" t="s">
        <v>5</v>
      </c>
      <c r="C198" t="s">
        <v>15</v>
      </c>
      <c r="D198" t="s">
        <v>12</v>
      </c>
      <c r="E198" t="s">
        <v>7</v>
      </c>
      <c r="F198">
        <v>59</v>
      </c>
      <c r="G198">
        <v>69</v>
      </c>
      <c r="H198">
        <v>65</v>
      </c>
      <c r="I198" s="1">
        <f>AVERAGE(tblStudents[[#This Row],[Math Score]],tblStudents[[#This Row],[Reading Score]],tblStudents[[#This Row],[Writing Score]])</f>
        <v>64.333333333333329</v>
      </c>
      <c r="J198">
        <f>IF(tblStudents[[#This Row],[Average Score]]&gt;=60,1,0)</f>
        <v>1</v>
      </c>
      <c r="K198" t="str">
        <f>IF(tblStudents[[#This Row],[Average Score]]&gt;=60,"Pass","At Risk")</f>
        <v>Pass</v>
      </c>
      <c r="L198" t="str" cm="1">
        <f t="array" ref="L198">_xlfn.IFS(tblStudents[[#This Row],[Average Score]]&gt;=80,"High",tblStudents[[#This Row],[Average Score]]&gt;=60,"Meets Standard",TRUE,"At Risk")</f>
        <v>Meets Standard</v>
      </c>
      <c r="M1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99" spans="1:13" x14ac:dyDescent="0.25">
      <c r="A199" t="s">
        <v>9</v>
      </c>
      <c r="B199" t="s">
        <v>16</v>
      </c>
      <c r="C199" t="s">
        <v>14</v>
      </c>
      <c r="D199" t="s">
        <v>12</v>
      </c>
      <c r="E199" t="s">
        <v>4</v>
      </c>
      <c r="F199">
        <v>55</v>
      </c>
      <c r="G199">
        <v>56</v>
      </c>
      <c r="H199">
        <v>51</v>
      </c>
      <c r="I199" s="1">
        <f>AVERAGE(tblStudents[[#This Row],[Math Score]],tblStudents[[#This Row],[Reading Score]],tblStudents[[#This Row],[Writing Score]])</f>
        <v>54</v>
      </c>
      <c r="J199">
        <f>IF(tblStudents[[#This Row],[Average Score]]&gt;=60,1,0)</f>
        <v>0</v>
      </c>
      <c r="K199" t="str">
        <f>IF(tblStudents[[#This Row],[Average Score]]&gt;=60,"Pass","At Risk")</f>
        <v>At Risk</v>
      </c>
      <c r="L199" t="str" cm="1">
        <f t="array" ref="L199">_xlfn.IFS(tblStudents[[#This Row],[Average Score]]&gt;=80,"High",tblStudents[[#This Row],[Average Score]]&gt;=60,"Meets Standard",TRUE,"At Risk")</f>
        <v>At Risk</v>
      </c>
      <c r="M1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200" spans="1:13" x14ac:dyDescent="0.25">
      <c r="A200" t="s">
        <v>0</v>
      </c>
      <c r="B200" t="s">
        <v>1</v>
      </c>
      <c r="C200" t="s">
        <v>6</v>
      </c>
      <c r="D200" t="s">
        <v>12</v>
      </c>
      <c r="E200" t="s">
        <v>4</v>
      </c>
      <c r="F200">
        <v>45</v>
      </c>
      <c r="G200">
        <v>53</v>
      </c>
      <c r="H200">
        <v>55</v>
      </c>
      <c r="I200" s="1">
        <f>AVERAGE(tblStudents[[#This Row],[Math Score]],tblStudents[[#This Row],[Reading Score]],tblStudents[[#This Row],[Writing Score]])</f>
        <v>51</v>
      </c>
      <c r="J200">
        <f>IF(tblStudents[[#This Row],[Average Score]]&gt;=60,1,0)</f>
        <v>0</v>
      </c>
      <c r="K200" t="str">
        <f>IF(tblStudents[[#This Row],[Average Score]]&gt;=60,"Pass","At Risk")</f>
        <v>At Risk</v>
      </c>
      <c r="L200" t="str" cm="1">
        <f t="array" ref="L200">_xlfn.IFS(tblStudents[[#This Row],[Average Score]]&gt;=80,"High",tblStudents[[#This Row],[Average Score]]&gt;=60,"Meets Standard",TRUE,"At Risk")</f>
        <v>At Risk</v>
      </c>
      <c r="M2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01" spans="1:13" x14ac:dyDescent="0.25">
      <c r="A201" t="s">
        <v>0</v>
      </c>
      <c r="B201" t="s">
        <v>1</v>
      </c>
      <c r="C201" t="s">
        <v>2</v>
      </c>
      <c r="D201" t="s">
        <v>12</v>
      </c>
      <c r="E201" t="s">
        <v>4</v>
      </c>
      <c r="F201">
        <v>78</v>
      </c>
      <c r="G201">
        <v>79</v>
      </c>
      <c r="H201">
        <v>76</v>
      </c>
      <c r="I201" s="1">
        <f>AVERAGE(tblStudents[[#This Row],[Math Score]],tblStudents[[#This Row],[Reading Score]],tblStudents[[#This Row],[Writing Score]])</f>
        <v>77.666666666666671</v>
      </c>
      <c r="J201">
        <f>IF(tblStudents[[#This Row],[Average Score]]&gt;=60,1,0)</f>
        <v>1</v>
      </c>
      <c r="K201" t="str">
        <f>IF(tblStudents[[#This Row],[Average Score]]&gt;=60,"Pass","At Risk")</f>
        <v>Pass</v>
      </c>
      <c r="L201" t="str" cm="1">
        <f t="array" ref="L201">_xlfn.IFS(tblStudents[[#This Row],[Average Score]]&gt;=80,"High",tblStudents[[#This Row],[Average Score]]&gt;=60,"Meets Standard",TRUE,"At Risk")</f>
        <v>Meets Standard</v>
      </c>
      <c r="M2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202" spans="1:13" x14ac:dyDescent="0.25">
      <c r="A202" t="s">
        <v>0</v>
      </c>
      <c r="B202" t="s">
        <v>5</v>
      </c>
      <c r="C202" t="s">
        <v>11</v>
      </c>
      <c r="D202" t="s">
        <v>3</v>
      </c>
      <c r="E202" t="s">
        <v>7</v>
      </c>
      <c r="F202">
        <v>67</v>
      </c>
      <c r="G202">
        <v>84</v>
      </c>
      <c r="H202">
        <v>86</v>
      </c>
      <c r="I202" s="1">
        <f>AVERAGE(tblStudents[[#This Row],[Math Score]],tblStudents[[#This Row],[Reading Score]],tblStudents[[#This Row],[Writing Score]])</f>
        <v>79</v>
      </c>
      <c r="J202">
        <f>IF(tblStudents[[#This Row],[Average Score]]&gt;=60,1,0)</f>
        <v>1</v>
      </c>
      <c r="K202" t="str">
        <f>IF(tblStudents[[#This Row],[Average Score]]&gt;=60,"Pass","At Risk")</f>
        <v>Pass</v>
      </c>
      <c r="L202" t="str" cm="1">
        <f t="array" ref="L202">_xlfn.IFS(tblStudents[[#This Row],[Average Score]]&gt;=80,"High",tblStudents[[#This Row],[Average Score]]&gt;=60,"Meets Standard",TRUE,"At Risk")</f>
        <v>Meets Standard</v>
      </c>
      <c r="M2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203" spans="1:13" x14ac:dyDescent="0.25">
      <c r="A203" t="s">
        <v>0</v>
      </c>
      <c r="B203" t="s">
        <v>13</v>
      </c>
      <c r="C203" t="s">
        <v>6</v>
      </c>
      <c r="D203" t="s">
        <v>12</v>
      </c>
      <c r="E203" t="s">
        <v>4</v>
      </c>
      <c r="F203">
        <v>65</v>
      </c>
      <c r="G203">
        <v>81</v>
      </c>
      <c r="H203">
        <v>77</v>
      </c>
      <c r="I203" s="1">
        <f>AVERAGE(tblStudents[[#This Row],[Math Score]],tblStudents[[#This Row],[Reading Score]],tblStudents[[#This Row],[Writing Score]])</f>
        <v>74.333333333333329</v>
      </c>
      <c r="J203">
        <f>IF(tblStudents[[#This Row],[Average Score]]&gt;=60,1,0)</f>
        <v>1</v>
      </c>
      <c r="K203" t="str">
        <f>IF(tblStudents[[#This Row],[Average Score]]&gt;=60,"Pass","At Risk")</f>
        <v>Pass</v>
      </c>
      <c r="L203" t="str" cm="1">
        <f t="array" ref="L203">_xlfn.IFS(tblStudents[[#This Row],[Average Score]]&gt;=80,"High",tblStudents[[#This Row],[Average Score]]&gt;=60,"Meets Standard",TRUE,"At Risk")</f>
        <v>Meets Standard</v>
      </c>
      <c r="M2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204" spans="1:13" x14ac:dyDescent="0.25">
      <c r="A204" t="s">
        <v>9</v>
      </c>
      <c r="B204" t="s">
        <v>5</v>
      </c>
      <c r="C204" t="s">
        <v>11</v>
      </c>
      <c r="D204" t="s">
        <v>3</v>
      </c>
      <c r="E204" t="s">
        <v>4</v>
      </c>
      <c r="F204">
        <v>69</v>
      </c>
      <c r="G204">
        <v>77</v>
      </c>
      <c r="H204">
        <v>69</v>
      </c>
      <c r="I204" s="1">
        <f>AVERAGE(tblStudents[[#This Row],[Math Score]],tblStudents[[#This Row],[Reading Score]],tblStudents[[#This Row],[Writing Score]])</f>
        <v>71.666666666666671</v>
      </c>
      <c r="J204">
        <f>IF(tblStudents[[#This Row],[Average Score]]&gt;=60,1,0)</f>
        <v>1</v>
      </c>
      <c r="K204" t="str">
        <f>IF(tblStudents[[#This Row],[Average Score]]&gt;=60,"Pass","At Risk")</f>
        <v>Pass</v>
      </c>
      <c r="L204" t="str" cm="1">
        <f t="array" ref="L204">_xlfn.IFS(tblStudents[[#This Row],[Average Score]]&gt;=80,"High",tblStudents[[#This Row],[Average Score]]&gt;=60,"Meets Standard",TRUE,"At Risk")</f>
        <v>Meets Standard</v>
      </c>
      <c r="M2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05" spans="1:13" x14ac:dyDescent="0.25">
      <c r="A205" t="s">
        <v>0</v>
      </c>
      <c r="B205" t="s">
        <v>1</v>
      </c>
      <c r="C205" t="s">
        <v>11</v>
      </c>
      <c r="D205" t="s">
        <v>3</v>
      </c>
      <c r="E205" t="s">
        <v>4</v>
      </c>
      <c r="F205">
        <v>57</v>
      </c>
      <c r="G205">
        <v>69</v>
      </c>
      <c r="H205">
        <v>68</v>
      </c>
      <c r="I205" s="1">
        <f>AVERAGE(tblStudents[[#This Row],[Math Score]],tblStudents[[#This Row],[Reading Score]],tblStudents[[#This Row],[Writing Score]])</f>
        <v>64.666666666666671</v>
      </c>
      <c r="J205">
        <f>IF(tblStudents[[#This Row],[Average Score]]&gt;=60,1,0)</f>
        <v>1</v>
      </c>
      <c r="K205" t="str">
        <f>IF(tblStudents[[#This Row],[Average Score]]&gt;=60,"Pass","At Risk")</f>
        <v>Pass</v>
      </c>
      <c r="L205" t="str" cm="1">
        <f t="array" ref="L205">_xlfn.IFS(tblStudents[[#This Row],[Average Score]]&gt;=80,"High",tblStudents[[#This Row],[Average Score]]&gt;=60,"Meets Standard",TRUE,"At Risk")</f>
        <v>Meets Standard</v>
      </c>
      <c r="M2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206" spans="1:13" x14ac:dyDescent="0.25">
      <c r="A206" t="s">
        <v>9</v>
      </c>
      <c r="B206" t="s">
        <v>5</v>
      </c>
      <c r="C206" t="s">
        <v>6</v>
      </c>
      <c r="D206" t="s">
        <v>3</v>
      </c>
      <c r="E206" t="s">
        <v>4</v>
      </c>
      <c r="F206">
        <v>59</v>
      </c>
      <c r="G206">
        <v>41</v>
      </c>
      <c r="H206">
        <v>42</v>
      </c>
      <c r="I206" s="1">
        <f>AVERAGE(tblStudents[[#This Row],[Math Score]],tblStudents[[#This Row],[Reading Score]],tblStudents[[#This Row],[Writing Score]])</f>
        <v>47.333333333333336</v>
      </c>
      <c r="J206">
        <f>IF(tblStudents[[#This Row],[Average Score]]&gt;=60,1,0)</f>
        <v>0</v>
      </c>
      <c r="K206" t="str">
        <f>IF(tblStudents[[#This Row],[Average Score]]&gt;=60,"Pass","At Risk")</f>
        <v>At Risk</v>
      </c>
      <c r="L206" t="str" cm="1">
        <f t="array" ref="L206">_xlfn.IFS(tblStudents[[#This Row],[Average Score]]&gt;=80,"High",tblStudents[[#This Row],[Average Score]]&gt;=60,"Meets Standard",TRUE,"At Risk")</f>
        <v>At Risk</v>
      </c>
      <c r="M2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207" spans="1:13" x14ac:dyDescent="0.25">
      <c r="A207" t="s">
        <v>9</v>
      </c>
      <c r="B207" t="s">
        <v>13</v>
      </c>
      <c r="C207" t="s">
        <v>15</v>
      </c>
      <c r="D207" t="s">
        <v>3</v>
      </c>
      <c r="E207" t="s">
        <v>7</v>
      </c>
      <c r="F207">
        <v>74</v>
      </c>
      <c r="G207">
        <v>71</v>
      </c>
      <c r="H207">
        <v>78</v>
      </c>
      <c r="I207" s="1">
        <f>AVERAGE(tblStudents[[#This Row],[Math Score]],tblStudents[[#This Row],[Reading Score]],tblStudents[[#This Row],[Writing Score]])</f>
        <v>74.333333333333329</v>
      </c>
      <c r="J207">
        <f>IF(tblStudents[[#This Row],[Average Score]]&gt;=60,1,0)</f>
        <v>1</v>
      </c>
      <c r="K207" t="str">
        <f>IF(tblStudents[[#This Row],[Average Score]]&gt;=60,"Pass","At Risk")</f>
        <v>Pass</v>
      </c>
      <c r="L207" t="str" cm="1">
        <f t="array" ref="L207">_xlfn.IFS(tblStudents[[#This Row],[Average Score]]&gt;=80,"High",tblStudents[[#This Row],[Average Score]]&gt;=60,"Meets Standard",TRUE,"At Risk")</f>
        <v>Meets Standard</v>
      </c>
      <c r="M2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08" spans="1:13" x14ac:dyDescent="0.25">
      <c r="A208" t="s">
        <v>9</v>
      </c>
      <c r="B208" t="s">
        <v>16</v>
      </c>
      <c r="C208" t="s">
        <v>2</v>
      </c>
      <c r="D208" t="s">
        <v>3</v>
      </c>
      <c r="E208" t="s">
        <v>4</v>
      </c>
      <c r="F208">
        <v>82</v>
      </c>
      <c r="G208">
        <v>62</v>
      </c>
      <c r="H208">
        <v>62</v>
      </c>
      <c r="I208" s="1">
        <f>AVERAGE(tblStudents[[#This Row],[Math Score]],tblStudents[[#This Row],[Reading Score]],tblStudents[[#This Row],[Writing Score]])</f>
        <v>68.666666666666671</v>
      </c>
      <c r="J208">
        <f>IF(tblStudents[[#This Row],[Average Score]]&gt;=60,1,0)</f>
        <v>1</v>
      </c>
      <c r="K208" t="str">
        <f>IF(tblStudents[[#This Row],[Average Score]]&gt;=60,"Pass","At Risk")</f>
        <v>Pass</v>
      </c>
      <c r="L208" t="str" cm="1">
        <f t="array" ref="L208">_xlfn.IFS(tblStudents[[#This Row],[Average Score]]&gt;=80,"High",tblStudents[[#This Row],[Average Score]]&gt;=60,"Meets Standard",TRUE,"At Risk")</f>
        <v>Meets Standard</v>
      </c>
      <c r="M2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209" spans="1:13" x14ac:dyDescent="0.25">
      <c r="A209" t="s">
        <v>9</v>
      </c>
      <c r="B209" t="s">
        <v>16</v>
      </c>
      <c r="C209" t="s">
        <v>14</v>
      </c>
      <c r="D209" t="s">
        <v>3</v>
      </c>
      <c r="E209" t="s">
        <v>7</v>
      </c>
      <c r="F209">
        <v>81</v>
      </c>
      <c r="G209">
        <v>80</v>
      </c>
      <c r="H209">
        <v>76</v>
      </c>
      <c r="I209" s="1">
        <f>AVERAGE(tblStudents[[#This Row],[Math Score]],tblStudents[[#This Row],[Reading Score]],tblStudents[[#This Row],[Writing Score]])</f>
        <v>79</v>
      </c>
      <c r="J209">
        <f>IF(tblStudents[[#This Row],[Average Score]]&gt;=60,1,0)</f>
        <v>1</v>
      </c>
      <c r="K209" t="str">
        <f>IF(tblStudents[[#This Row],[Average Score]]&gt;=60,"Pass","At Risk")</f>
        <v>Pass</v>
      </c>
      <c r="L209" t="str" cm="1">
        <f t="array" ref="L209">_xlfn.IFS(tblStudents[[#This Row],[Average Score]]&gt;=80,"High",tblStudents[[#This Row],[Average Score]]&gt;=60,"Meets Standard",TRUE,"At Risk")</f>
        <v>Meets Standard</v>
      </c>
      <c r="M2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210" spans="1:13" x14ac:dyDescent="0.25">
      <c r="A210" t="s">
        <v>0</v>
      </c>
      <c r="B210" t="s">
        <v>1</v>
      </c>
      <c r="C210" t="s">
        <v>6</v>
      </c>
      <c r="D210" t="s">
        <v>12</v>
      </c>
      <c r="E210" t="s">
        <v>4</v>
      </c>
      <c r="F210">
        <v>74</v>
      </c>
      <c r="G210">
        <v>81</v>
      </c>
      <c r="H210">
        <v>76</v>
      </c>
      <c r="I210" s="1">
        <f>AVERAGE(tblStudents[[#This Row],[Math Score]],tblStudents[[#This Row],[Reading Score]],tblStudents[[#This Row],[Writing Score]])</f>
        <v>77</v>
      </c>
      <c r="J210">
        <f>IF(tblStudents[[#This Row],[Average Score]]&gt;=60,1,0)</f>
        <v>1</v>
      </c>
      <c r="K210" t="str">
        <f>IF(tblStudents[[#This Row],[Average Score]]&gt;=60,"Pass","At Risk")</f>
        <v>Pass</v>
      </c>
      <c r="L210" t="str" cm="1">
        <f t="array" ref="L210">_xlfn.IFS(tblStudents[[#This Row],[Average Score]]&gt;=80,"High",tblStudents[[#This Row],[Average Score]]&gt;=60,"Meets Standard",TRUE,"At Risk")</f>
        <v>Meets Standard</v>
      </c>
      <c r="M2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11" spans="1:13" x14ac:dyDescent="0.25">
      <c r="A211" t="s">
        <v>0</v>
      </c>
      <c r="B211" t="s">
        <v>1</v>
      </c>
      <c r="C211" t="s">
        <v>6</v>
      </c>
      <c r="D211" t="s">
        <v>12</v>
      </c>
      <c r="E211" t="s">
        <v>4</v>
      </c>
      <c r="F211">
        <v>58</v>
      </c>
      <c r="G211">
        <v>61</v>
      </c>
      <c r="H211">
        <v>66</v>
      </c>
      <c r="I211" s="1">
        <f>AVERAGE(tblStudents[[#This Row],[Math Score]],tblStudents[[#This Row],[Reading Score]],tblStudents[[#This Row],[Writing Score]])</f>
        <v>61.666666666666664</v>
      </c>
      <c r="J211">
        <f>IF(tblStudents[[#This Row],[Average Score]]&gt;=60,1,0)</f>
        <v>1</v>
      </c>
      <c r="K211" t="str">
        <f>IF(tblStudents[[#This Row],[Average Score]]&gt;=60,"Pass","At Risk")</f>
        <v>Pass</v>
      </c>
      <c r="L211" t="str" cm="1">
        <f t="array" ref="L211">_xlfn.IFS(tblStudents[[#This Row],[Average Score]]&gt;=80,"High",tblStudents[[#This Row],[Average Score]]&gt;=60,"Meets Standard",TRUE,"At Risk")</f>
        <v>Meets Standard</v>
      </c>
      <c r="M2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12" spans="1:13" x14ac:dyDescent="0.25">
      <c r="A212" t="s">
        <v>9</v>
      </c>
      <c r="B212" t="s">
        <v>13</v>
      </c>
      <c r="C212" t="s">
        <v>15</v>
      </c>
      <c r="D212" t="s">
        <v>12</v>
      </c>
      <c r="E212" t="s">
        <v>7</v>
      </c>
      <c r="F212">
        <v>80</v>
      </c>
      <c r="G212">
        <v>79</v>
      </c>
      <c r="H212">
        <v>79</v>
      </c>
      <c r="I212" s="1">
        <f>AVERAGE(tblStudents[[#This Row],[Math Score]],tblStudents[[#This Row],[Reading Score]],tblStudents[[#This Row],[Writing Score]])</f>
        <v>79.333333333333329</v>
      </c>
      <c r="J212">
        <f>IF(tblStudents[[#This Row],[Average Score]]&gt;=60,1,0)</f>
        <v>1</v>
      </c>
      <c r="K212" t="str">
        <f>IF(tblStudents[[#This Row],[Average Score]]&gt;=60,"Pass","At Risk")</f>
        <v>Pass</v>
      </c>
      <c r="L212" t="str" cm="1">
        <f t="array" ref="L212">_xlfn.IFS(tblStudents[[#This Row],[Average Score]]&gt;=80,"High",tblStudents[[#This Row],[Average Score]]&gt;=60,"Meets Standard",TRUE,"At Risk")</f>
        <v>Meets Standard</v>
      </c>
      <c r="M2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213" spans="1:13" x14ac:dyDescent="0.25">
      <c r="A213" t="s">
        <v>9</v>
      </c>
      <c r="B213" t="s">
        <v>5</v>
      </c>
      <c r="C213" t="s">
        <v>6</v>
      </c>
      <c r="D213" t="s">
        <v>12</v>
      </c>
      <c r="E213" t="s">
        <v>4</v>
      </c>
      <c r="F213">
        <v>35</v>
      </c>
      <c r="G213">
        <v>28</v>
      </c>
      <c r="H213">
        <v>27</v>
      </c>
      <c r="I213" s="1">
        <f>AVERAGE(tblStudents[[#This Row],[Math Score]],tblStudents[[#This Row],[Reading Score]],tblStudents[[#This Row],[Writing Score]])</f>
        <v>30</v>
      </c>
      <c r="J213">
        <f>IF(tblStudents[[#This Row],[Average Score]]&gt;=60,1,0)</f>
        <v>0</v>
      </c>
      <c r="K213" t="str">
        <f>IF(tblStudents[[#This Row],[Average Score]]&gt;=60,"Pass","At Risk")</f>
        <v>At Risk</v>
      </c>
      <c r="L213" t="str" cm="1">
        <f t="array" ref="L213">_xlfn.IFS(tblStudents[[#This Row],[Average Score]]&gt;=80,"High",tblStudents[[#This Row],[Average Score]]&gt;=60,"Meets Standard",TRUE,"At Risk")</f>
        <v>At Risk</v>
      </c>
      <c r="M2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14" spans="1:13" x14ac:dyDescent="0.25">
      <c r="A214" t="s">
        <v>0</v>
      </c>
      <c r="B214" t="s">
        <v>5</v>
      </c>
      <c r="C214" t="s">
        <v>14</v>
      </c>
      <c r="D214" t="s">
        <v>12</v>
      </c>
      <c r="E214" t="s">
        <v>4</v>
      </c>
      <c r="F214">
        <v>42</v>
      </c>
      <c r="G214">
        <v>62</v>
      </c>
      <c r="H214">
        <v>60</v>
      </c>
      <c r="I214" s="1">
        <f>AVERAGE(tblStudents[[#This Row],[Math Score]],tblStudents[[#This Row],[Reading Score]],tblStudents[[#This Row],[Writing Score]])</f>
        <v>54.666666666666664</v>
      </c>
      <c r="J214">
        <f>IF(tblStudents[[#This Row],[Average Score]]&gt;=60,1,0)</f>
        <v>0</v>
      </c>
      <c r="K214" t="str">
        <f>IF(tblStudents[[#This Row],[Average Score]]&gt;=60,"Pass","At Risk")</f>
        <v>At Risk</v>
      </c>
      <c r="L214" t="str" cm="1">
        <f t="array" ref="L214">_xlfn.IFS(tblStudents[[#This Row],[Average Score]]&gt;=80,"High",tblStudents[[#This Row],[Average Score]]&gt;=60,"Meets Standard",TRUE,"At Risk")</f>
        <v>At Risk</v>
      </c>
      <c r="M2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215" spans="1:13" x14ac:dyDescent="0.25">
      <c r="A215" t="s">
        <v>9</v>
      </c>
      <c r="B215" t="s">
        <v>5</v>
      </c>
      <c r="C215" t="s">
        <v>11</v>
      </c>
      <c r="D215" t="s">
        <v>12</v>
      </c>
      <c r="E215" t="s">
        <v>7</v>
      </c>
      <c r="F215">
        <v>60</v>
      </c>
      <c r="G215">
        <v>51</v>
      </c>
      <c r="H215">
        <v>56</v>
      </c>
      <c r="I215" s="1">
        <f>AVERAGE(tblStudents[[#This Row],[Math Score]],tblStudents[[#This Row],[Reading Score]],tblStudents[[#This Row],[Writing Score]])</f>
        <v>55.666666666666664</v>
      </c>
      <c r="J215">
        <f>IF(tblStudents[[#This Row],[Average Score]]&gt;=60,1,0)</f>
        <v>0</v>
      </c>
      <c r="K215" t="str">
        <f>IF(tblStudents[[#This Row],[Average Score]]&gt;=60,"Pass","At Risk")</f>
        <v>At Risk</v>
      </c>
      <c r="L215" t="str" cm="1">
        <f t="array" ref="L215">_xlfn.IFS(tblStudents[[#This Row],[Average Score]]&gt;=80,"High",tblStudents[[#This Row],[Average Score]]&gt;=60,"Meets Standard",TRUE,"At Risk")</f>
        <v>At Risk</v>
      </c>
      <c r="M2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216" spans="1:13" x14ac:dyDescent="0.25">
      <c r="A216" t="s">
        <v>9</v>
      </c>
      <c r="B216" t="s">
        <v>16</v>
      </c>
      <c r="C216" t="s">
        <v>14</v>
      </c>
      <c r="D216" t="s">
        <v>3</v>
      </c>
      <c r="E216" t="s">
        <v>7</v>
      </c>
      <c r="F216">
        <v>87</v>
      </c>
      <c r="G216">
        <v>91</v>
      </c>
      <c r="H216">
        <v>81</v>
      </c>
      <c r="I216" s="1">
        <f>AVERAGE(tblStudents[[#This Row],[Math Score]],tblStudents[[#This Row],[Reading Score]],tblStudents[[#This Row],[Writing Score]])</f>
        <v>86.333333333333329</v>
      </c>
      <c r="J216">
        <f>IF(tblStudents[[#This Row],[Average Score]]&gt;=60,1,0)</f>
        <v>1</v>
      </c>
      <c r="K216" t="str">
        <f>IF(tblStudents[[#This Row],[Average Score]]&gt;=60,"Pass","At Risk")</f>
        <v>Pass</v>
      </c>
      <c r="L216" t="str" cm="1">
        <f t="array" ref="L216">_xlfn.IFS(tblStudents[[#This Row],[Average Score]]&gt;=80,"High",tblStudents[[#This Row],[Average Score]]&gt;=60,"Meets Standard",TRUE,"At Risk")</f>
        <v>High</v>
      </c>
      <c r="M2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17" spans="1:13" x14ac:dyDescent="0.25">
      <c r="A217" t="s">
        <v>9</v>
      </c>
      <c r="B217" t="s">
        <v>1</v>
      </c>
      <c r="C217" t="s">
        <v>15</v>
      </c>
      <c r="D217" t="s">
        <v>3</v>
      </c>
      <c r="E217" t="s">
        <v>7</v>
      </c>
      <c r="F217">
        <v>84</v>
      </c>
      <c r="G217">
        <v>83</v>
      </c>
      <c r="H217">
        <v>75</v>
      </c>
      <c r="I217" s="1">
        <f>AVERAGE(tblStudents[[#This Row],[Math Score]],tblStudents[[#This Row],[Reading Score]],tblStudents[[#This Row],[Writing Score]])</f>
        <v>80.666666666666671</v>
      </c>
      <c r="J217">
        <f>IF(tblStudents[[#This Row],[Average Score]]&gt;=60,1,0)</f>
        <v>1</v>
      </c>
      <c r="K217" t="str">
        <f>IF(tblStudents[[#This Row],[Average Score]]&gt;=60,"Pass","At Risk")</f>
        <v>Pass</v>
      </c>
      <c r="L217" t="str" cm="1">
        <f t="array" ref="L217">_xlfn.IFS(tblStudents[[#This Row],[Average Score]]&gt;=80,"High",tblStudents[[#This Row],[Average Score]]&gt;=60,"Meets Standard",TRUE,"At Risk")</f>
        <v>High</v>
      </c>
      <c r="M2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218" spans="1:13" x14ac:dyDescent="0.25">
      <c r="A218" t="s">
        <v>0</v>
      </c>
      <c r="B218" t="s">
        <v>16</v>
      </c>
      <c r="C218" t="s">
        <v>11</v>
      </c>
      <c r="D218" t="s">
        <v>12</v>
      </c>
      <c r="E218" t="s">
        <v>7</v>
      </c>
      <c r="F218">
        <v>83</v>
      </c>
      <c r="G218">
        <v>86</v>
      </c>
      <c r="H218">
        <v>88</v>
      </c>
      <c r="I218" s="1">
        <f>AVERAGE(tblStudents[[#This Row],[Math Score]],tblStudents[[#This Row],[Reading Score]],tblStudents[[#This Row],[Writing Score]])</f>
        <v>85.666666666666671</v>
      </c>
      <c r="J218">
        <f>IF(tblStudents[[#This Row],[Average Score]]&gt;=60,1,0)</f>
        <v>1</v>
      </c>
      <c r="K218" t="str">
        <f>IF(tblStudents[[#This Row],[Average Score]]&gt;=60,"Pass","At Risk")</f>
        <v>Pass</v>
      </c>
      <c r="L218" t="str" cm="1">
        <f t="array" ref="L218">_xlfn.IFS(tblStudents[[#This Row],[Average Score]]&gt;=80,"High",tblStudents[[#This Row],[Average Score]]&gt;=60,"Meets Standard",TRUE,"At Risk")</f>
        <v>High</v>
      </c>
      <c r="M2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219" spans="1:13" x14ac:dyDescent="0.25">
      <c r="A219" t="s">
        <v>0</v>
      </c>
      <c r="B219" t="s">
        <v>5</v>
      </c>
      <c r="C219" t="s">
        <v>14</v>
      </c>
      <c r="D219" t="s">
        <v>12</v>
      </c>
      <c r="E219" t="s">
        <v>4</v>
      </c>
      <c r="F219">
        <v>34</v>
      </c>
      <c r="G219">
        <v>42</v>
      </c>
      <c r="H219">
        <v>39</v>
      </c>
      <c r="I219" s="1">
        <f>AVERAGE(tblStudents[[#This Row],[Math Score]],tblStudents[[#This Row],[Reading Score]],tblStudents[[#This Row],[Writing Score]])</f>
        <v>38.333333333333336</v>
      </c>
      <c r="J219">
        <f>IF(tblStudents[[#This Row],[Average Score]]&gt;=60,1,0)</f>
        <v>0</v>
      </c>
      <c r="K219" t="str">
        <f>IF(tblStudents[[#This Row],[Average Score]]&gt;=60,"Pass","At Risk")</f>
        <v>At Risk</v>
      </c>
      <c r="L219" t="str" cm="1">
        <f t="array" ref="L219">_xlfn.IFS(tblStudents[[#This Row],[Average Score]]&gt;=80,"High",tblStudents[[#This Row],[Average Score]]&gt;=60,"Meets Standard",TRUE,"At Risk")</f>
        <v>At Risk</v>
      </c>
      <c r="M2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20" spans="1:13" x14ac:dyDescent="0.25">
      <c r="A220" t="s">
        <v>9</v>
      </c>
      <c r="B220" t="s">
        <v>1</v>
      </c>
      <c r="C220" t="s">
        <v>14</v>
      </c>
      <c r="D220" t="s">
        <v>12</v>
      </c>
      <c r="E220" t="s">
        <v>4</v>
      </c>
      <c r="F220">
        <v>66</v>
      </c>
      <c r="G220">
        <v>77</v>
      </c>
      <c r="H220">
        <v>70</v>
      </c>
      <c r="I220" s="1">
        <f>AVERAGE(tblStudents[[#This Row],[Math Score]],tblStudents[[#This Row],[Reading Score]],tblStudents[[#This Row],[Writing Score]])</f>
        <v>71</v>
      </c>
      <c r="J220">
        <f>IF(tblStudents[[#This Row],[Average Score]]&gt;=60,1,0)</f>
        <v>1</v>
      </c>
      <c r="K220" t="str">
        <f>IF(tblStudents[[#This Row],[Average Score]]&gt;=60,"Pass","At Risk")</f>
        <v>Pass</v>
      </c>
      <c r="L220" t="str" cm="1">
        <f t="array" ref="L220">_xlfn.IFS(tblStudents[[#This Row],[Average Score]]&gt;=80,"High",tblStudents[[#This Row],[Average Score]]&gt;=60,"Meets Standard",TRUE,"At Risk")</f>
        <v>Meets Standard</v>
      </c>
      <c r="M2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21" spans="1:13" x14ac:dyDescent="0.25">
      <c r="A221" t="s">
        <v>9</v>
      </c>
      <c r="B221" t="s">
        <v>1</v>
      </c>
      <c r="C221" t="s">
        <v>15</v>
      </c>
      <c r="D221" t="s">
        <v>3</v>
      </c>
      <c r="E221" t="s">
        <v>7</v>
      </c>
      <c r="F221">
        <v>61</v>
      </c>
      <c r="G221">
        <v>56</v>
      </c>
      <c r="H221">
        <v>56</v>
      </c>
      <c r="I221" s="1">
        <f>AVERAGE(tblStudents[[#This Row],[Math Score]],tblStudents[[#This Row],[Reading Score]],tblStudents[[#This Row],[Writing Score]])</f>
        <v>57.666666666666664</v>
      </c>
      <c r="J221">
        <f>IF(tblStudents[[#This Row],[Average Score]]&gt;=60,1,0)</f>
        <v>0</v>
      </c>
      <c r="K221" t="str">
        <f>IF(tblStudents[[#This Row],[Average Score]]&gt;=60,"Pass","At Risk")</f>
        <v>At Risk</v>
      </c>
      <c r="L221" t="str" cm="1">
        <f t="array" ref="L221">_xlfn.IFS(tblStudents[[#This Row],[Average Score]]&gt;=80,"High",tblStudents[[#This Row],[Average Score]]&gt;=60,"Meets Standard",TRUE,"At Risk")</f>
        <v>At Risk</v>
      </c>
      <c r="M2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222" spans="1:13" x14ac:dyDescent="0.25">
      <c r="A222" t="s">
        <v>0</v>
      </c>
      <c r="B222" t="s">
        <v>13</v>
      </c>
      <c r="C222" t="s">
        <v>14</v>
      </c>
      <c r="D222" t="s">
        <v>3</v>
      </c>
      <c r="E222" t="s">
        <v>7</v>
      </c>
      <c r="F222">
        <v>56</v>
      </c>
      <c r="G222">
        <v>68</v>
      </c>
      <c r="H222">
        <v>74</v>
      </c>
      <c r="I222" s="1">
        <f>AVERAGE(tblStudents[[#This Row],[Math Score]],tblStudents[[#This Row],[Reading Score]],tblStudents[[#This Row],[Writing Score]])</f>
        <v>66</v>
      </c>
      <c r="J222">
        <f>IF(tblStudents[[#This Row],[Average Score]]&gt;=60,1,0)</f>
        <v>1</v>
      </c>
      <c r="K222" t="str">
        <f>IF(tblStudents[[#This Row],[Average Score]]&gt;=60,"Pass","At Risk")</f>
        <v>Pass</v>
      </c>
      <c r="L222" t="str" cm="1">
        <f t="array" ref="L222">_xlfn.IFS(tblStudents[[#This Row],[Average Score]]&gt;=80,"High",tblStudents[[#This Row],[Average Score]]&gt;=60,"Meets Standard",TRUE,"At Risk")</f>
        <v>Meets Standard</v>
      </c>
      <c r="M2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223" spans="1:13" x14ac:dyDescent="0.25">
      <c r="A223" t="s">
        <v>9</v>
      </c>
      <c r="B223" t="s">
        <v>1</v>
      </c>
      <c r="C223" t="s">
        <v>11</v>
      </c>
      <c r="D223" t="s">
        <v>3</v>
      </c>
      <c r="E223" t="s">
        <v>4</v>
      </c>
      <c r="F223">
        <v>87</v>
      </c>
      <c r="G223">
        <v>85</v>
      </c>
      <c r="H223">
        <v>73</v>
      </c>
      <c r="I223" s="1">
        <f>AVERAGE(tblStudents[[#This Row],[Math Score]],tblStudents[[#This Row],[Reading Score]],tblStudents[[#This Row],[Writing Score]])</f>
        <v>81.666666666666671</v>
      </c>
      <c r="J223">
        <f>IF(tblStudents[[#This Row],[Average Score]]&gt;=60,1,0)</f>
        <v>1</v>
      </c>
      <c r="K223" t="str">
        <f>IF(tblStudents[[#This Row],[Average Score]]&gt;=60,"Pass","At Risk")</f>
        <v>Pass</v>
      </c>
      <c r="L223" t="str" cm="1">
        <f t="array" ref="L223">_xlfn.IFS(tblStudents[[#This Row],[Average Score]]&gt;=80,"High",tblStudents[[#This Row],[Average Score]]&gt;=60,"Meets Standard",TRUE,"At Risk")</f>
        <v>High</v>
      </c>
      <c r="M2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224" spans="1:13" x14ac:dyDescent="0.25">
      <c r="A224" t="s">
        <v>0</v>
      </c>
      <c r="B224" t="s">
        <v>5</v>
      </c>
      <c r="C224" t="s">
        <v>15</v>
      </c>
      <c r="D224" t="s">
        <v>12</v>
      </c>
      <c r="E224" t="s">
        <v>4</v>
      </c>
      <c r="F224">
        <v>55</v>
      </c>
      <c r="G224">
        <v>65</v>
      </c>
      <c r="H224">
        <v>62</v>
      </c>
      <c r="I224" s="1">
        <f>AVERAGE(tblStudents[[#This Row],[Math Score]],tblStudents[[#This Row],[Reading Score]],tblStudents[[#This Row],[Writing Score]])</f>
        <v>60.666666666666664</v>
      </c>
      <c r="J224">
        <f>IF(tblStudents[[#This Row],[Average Score]]&gt;=60,1,0)</f>
        <v>1</v>
      </c>
      <c r="K224" t="str">
        <f>IF(tblStudents[[#This Row],[Average Score]]&gt;=60,"Pass","At Risk")</f>
        <v>Pass</v>
      </c>
      <c r="L224" t="str" cm="1">
        <f t="array" ref="L224">_xlfn.IFS(tblStudents[[#This Row],[Average Score]]&gt;=80,"High",tblStudents[[#This Row],[Average Score]]&gt;=60,"Meets Standard",TRUE,"At Risk")</f>
        <v>Meets Standard</v>
      </c>
      <c r="M2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25" spans="1:13" x14ac:dyDescent="0.25">
      <c r="A225" t="s">
        <v>9</v>
      </c>
      <c r="B225" t="s">
        <v>13</v>
      </c>
      <c r="C225" t="s">
        <v>15</v>
      </c>
      <c r="D225" t="s">
        <v>3</v>
      </c>
      <c r="E225" t="s">
        <v>4</v>
      </c>
      <c r="F225">
        <v>86</v>
      </c>
      <c r="G225">
        <v>80</v>
      </c>
      <c r="H225">
        <v>75</v>
      </c>
      <c r="I225" s="1">
        <f>AVERAGE(tblStudents[[#This Row],[Math Score]],tblStudents[[#This Row],[Reading Score]],tblStudents[[#This Row],[Writing Score]])</f>
        <v>80.333333333333329</v>
      </c>
      <c r="J225">
        <f>IF(tblStudents[[#This Row],[Average Score]]&gt;=60,1,0)</f>
        <v>1</v>
      </c>
      <c r="K225" t="str">
        <f>IF(tblStudents[[#This Row],[Average Score]]&gt;=60,"Pass","At Risk")</f>
        <v>Pass</v>
      </c>
      <c r="L225" t="str" cm="1">
        <f t="array" ref="L225">_xlfn.IFS(tblStudents[[#This Row],[Average Score]]&gt;=80,"High",tblStudents[[#This Row],[Average Score]]&gt;=60,"Meets Standard",TRUE,"At Risk")</f>
        <v>High</v>
      </c>
      <c r="M2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26" spans="1:13" x14ac:dyDescent="0.25">
      <c r="A226" t="s">
        <v>0</v>
      </c>
      <c r="B226" t="s">
        <v>1</v>
      </c>
      <c r="C226" t="s">
        <v>11</v>
      </c>
      <c r="D226" t="s">
        <v>3</v>
      </c>
      <c r="E226" t="s">
        <v>7</v>
      </c>
      <c r="F226">
        <v>52</v>
      </c>
      <c r="G226">
        <v>66</v>
      </c>
      <c r="H226">
        <v>73</v>
      </c>
      <c r="I226" s="1">
        <f>AVERAGE(tblStudents[[#This Row],[Math Score]],tblStudents[[#This Row],[Reading Score]],tblStudents[[#This Row],[Writing Score]])</f>
        <v>63.666666666666664</v>
      </c>
      <c r="J226">
        <f>IF(tblStudents[[#This Row],[Average Score]]&gt;=60,1,0)</f>
        <v>1</v>
      </c>
      <c r="K226" t="str">
        <f>IF(tblStudents[[#This Row],[Average Score]]&gt;=60,"Pass","At Risk")</f>
        <v>Pass</v>
      </c>
      <c r="L226" t="str" cm="1">
        <f t="array" ref="L226">_xlfn.IFS(tblStudents[[#This Row],[Average Score]]&gt;=80,"High",tblStudents[[#This Row],[Average Score]]&gt;=60,"Meets Standard",TRUE,"At Risk")</f>
        <v>Meets Standard</v>
      </c>
      <c r="M2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227" spans="1:13" x14ac:dyDescent="0.25">
      <c r="A227" t="s">
        <v>0</v>
      </c>
      <c r="B227" t="s">
        <v>16</v>
      </c>
      <c r="C227" t="s">
        <v>8</v>
      </c>
      <c r="D227" t="s">
        <v>12</v>
      </c>
      <c r="E227" t="s">
        <v>4</v>
      </c>
      <c r="F227">
        <v>45</v>
      </c>
      <c r="G227">
        <v>56</v>
      </c>
      <c r="H227">
        <v>54</v>
      </c>
      <c r="I227" s="1">
        <f>AVERAGE(tblStudents[[#This Row],[Math Score]],tblStudents[[#This Row],[Reading Score]],tblStudents[[#This Row],[Writing Score]])</f>
        <v>51.666666666666664</v>
      </c>
      <c r="J227">
        <f>IF(tblStudents[[#This Row],[Average Score]]&gt;=60,1,0)</f>
        <v>0</v>
      </c>
      <c r="K227" t="str">
        <f>IF(tblStudents[[#This Row],[Average Score]]&gt;=60,"Pass","At Risk")</f>
        <v>At Risk</v>
      </c>
      <c r="L227" t="str" cm="1">
        <f t="array" ref="L227">_xlfn.IFS(tblStudents[[#This Row],[Average Score]]&gt;=80,"High",tblStudents[[#This Row],[Average Score]]&gt;=60,"Meets Standard",TRUE,"At Risk")</f>
        <v>At Risk</v>
      </c>
      <c r="M2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28" spans="1:13" x14ac:dyDescent="0.25">
      <c r="A228" t="s">
        <v>0</v>
      </c>
      <c r="B228" t="s">
        <v>5</v>
      </c>
      <c r="C228" t="s">
        <v>6</v>
      </c>
      <c r="D228" t="s">
        <v>3</v>
      </c>
      <c r="E228" t="s">
        <v>4</v>
      </c>
      <c r="F228">
        <v>72</v>
      </c>
      <c r="G228">
        <v>72</v>
      </c>
      <c r="H228">
        <v>71</v>
      </c>
      <c r="I228" s="1">
        <f>AVERAGE(tblStudents[[#This Row],[Math Score]],tblStudents[[#This Row],[Reading Score]],tblStudents[[#This Row],[Writing Score]])</f>
        <v>71.666666666666671</v>
      </c>
      <c r="J228">
        <f>IF(tblStudents[[#This Row],[Average Score]]&gt;=60,1,0)</f>
        <v>1</v>
      </c>
      <c r="K228" t="str">
        <f>IF(tblStudents[[#This Row],[Average Score]]&gt;=60,"Pass","At Risk")</f>
        <v>Pass</v>
      </c>
      <c r="L228" t="str" cm="1">
        <f t="array" ref="L228">_xlfn.IFS(tblStudents[[#This Row],[Average Score]]&gt;=80,"High",tblStudents[[#This Row],[Average Score]]&gt;=60,"Meets Standard",TRUE,"At Risk")</f>
        <v>Meets Standard</v>
      </c>
      <c r="M2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229" spans="1:13" x14ac:dyDescent="0.25">
      <c r="A229" t="s">
        <v>9</v>
      </c>
      <c r="B229" t="s">
        <v>13</v>
      </c>
      <c r="C229" t="s">
        <v>14</v>
      </c>
      <c r="D229" t="s">
        <v>3</v>
      </c>
      <c r="E229" t="s">
        <v>4</v>
      </c>
      <c r="F229">
        <v>57</v>
      </c>
      <c r="G229">
        <v>50</v>
      </c>
      <c r="H229">
        <v>54</v>
      </c>
      <c r="I229" s="1">
        <f>AVERAGE(tblStudents[[#This Row],[Math Score]],tblStudents[[#This Row],[Reading Score]],tblStudents[[#This Row],[Writing Score]])</f>
        <v>53.666666666666664</v>
      </c>
      <c r="J229">
        <f>IF(tblStudents[[#This Row],[Average Score]]&gt;=60,1,0)</f>
        <v>0</v>
      </c>
      <c r="K229" t="str">
        <f>IF(tblStudents[[#This Row],[Average Score]]&gt;=60,"Pass","At Risk")</f>
        <v>At Risk</v>
      </c>
      <c r="L229" t="str" cm="1">
        <f t="array" ref="L229">_xlfn.IFS(tblStudents[[#This Row],[Average Score]]&gt;=80,"High",tblStudents[[#This Row],[Average Score]]&gt;=60,"Meets Standard",TRUE,"At Risk")</f>
        <v>At Risk</v>
      </c>
      <c r="M2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30" spans="1:13" x14ac:dyDescent="0.25">
      <c r="A230" t="s">
        <v>9</v>
      </c>
      <c r="B230" t="s">
        <v>10</v>
      </c>
      <c r="C230" t="s">
        <v>15</v>
      </c>
      <c r="D230" t="s">
        <v>12</v>
      </c>
      <c r="E230" t="s">
        <v>4</v>
      </c>
      <c r="F230">
        <v>68</v>
      </c>
      <c r="G230">
        <v>72</v>
      </c>
      <c r="H230">
        <v>64</v>
      </c>
      <c r="I230" s="1">
        <f>AVERAGE(tblStudents[[#This Row],[Math Score]],tblStudents[[#This Row],[Reading Score]],tblStudents[[#This Row],[Writing Score]])</f>
        <v>68</v>
      </c>
      <c r="J230">
        <f>IF(tblStudents[[#This Row],[Average Score]]&gt;=60,1,0)</f>
        <v>1</v>
      </c>
      <c r="K230" t="str">
        <f>IF(tblStudents[[#This Row],[Average Score]]&gt;=60,"Pass","At Risk")</f>
        <v>Pass</v>
      </c>
      <c r="L230" t="str" cm="1">
        <f t="array" ref="L230">_xlfn.IFS(tblStudents[[#This Row],[Average Score]]&gt;=80,"High",tblStudents[[#This Row],[Average Score]]&gt;=60,"Meets Standard",TRUE,"At Risk")</f>
        <v>Meets Standard</v>
      </c>
      <c r="M2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31" spans="1:13" x14ac:dyDescent="0.25">
      <c r="A231" t="s">
        <v>0</v>
      </c>
      <c r="B231" t="s">
        <v>5</v>
      </c>
      <c r="C231" t="s">
        <v>6</v>
      </c>
      <c r="D231" t="s">
        <v>3</v>
      </c>
      <c r="E231" t="s">
        <v>7</v>
      </c>
      <c r="F231">
        <v>88</v>
      </c>
      <c r="G231">
        <v>95</v>
      </c>
      <c r="H231">
        <v>94</v>
      </c>
      <c r="I231" s="1">
        <f>AVERAGE(tblStudents[[#This Row],[Math Score]],tblStudents[[#This Row],[Reading Score]],tblStudents[[#This Row],[Writing Score]])</f>
        <v>92.333333333333329</v>
      </c>
      <c r="J231">
        <f>IF(tblStudents[[#This Row],[Average Score]]&gt;=60,1,0)</f>
        <v>1</v>
      </c>
      <c r="K231" t="str">
        <f>IF(tblStudents[[#This Row],[Average Score]]&gt;=60,"Pass","At Risk")</f>
        <v>Pass</v>
      </c>
      <c r="L231" t="str" cm="1">
        <f t="array" ref="L231">_xlfn.IFS(tblStudents[[#This Row],[Average Score]]&gt;=80,"High",tblStudents[[#This Row],[Average Score]]&gt;=60,"Meets Standard",TRUE,"At Risk")</f>
        <v>High</v>
      </c>
      <c r="M2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32" spans="1:13" x14ac:dyDescent="0.25">
      <c r="A232" t="s">
        <v>9</v>
      </c>
      <c r="B232" t="s">
        <v>13</v>
      </c>
      <c r="C232" t="s">
        <v>6</v>
      </c>
      <c r="D232" t="s">
        <v>3</v>
      </c>
      <c r="E232" t="s">
        <v>4</v>
      </c>
      <c r="F232">
        <v>76</v>
      </c>
      <c r="G232">
        <v>64</v>
      </c>
      <c r="H232">
        <v>66</v>
      </c>
      <c r="I232" s="1">
        <f>AVERAGE(tblStudents[[#This Row],[Math Score]],tblStudents[[#This Row],[Reading Score]],tblStudents[[#This Row],[Writing Score]])</f>
        <v>68.666666666666671</v>
      </c>
      <c r="J232">
        <f>IF(tblStudents[[#This Row],[Average Score]]&gt;=60,1,0)</f>
        <v>1</v>
      </c>
      <c r="K232" t="str">
        <f>IF(tblStudents[[#This Row],[Average Score]]&gt;=60,"Pass","At Risk")</f>
        <v>Pass</v>
      </c>
      <c r="L232" t="str" cm="1">
        <f t="array" ref="L232">_xlfn.IFS(tblStudents[[#This Row],[Average Score]]&gt;=80,"High",tblStudents[[#This Row],[Average Score]]&gt;=60,"Meets Standard",TRUE,"At Risk")</f>
        <v>Meets Standard</v>
      </c>
      <c r="M2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233" spans="1:13" x14ac:dyDescent="0.25">
      <c r="A233" t="s">
        <v>9</v>
      </c>
      <c r="B233" t="s">
        <v>5</v>
      </c>
      <c r="C233" t="s">
        <v>11</v>
      </c>
      <c r="D233" t="s">
        <v>3</v>
      </c>
      <c r="E233" t="s">
        <v>4</v>
      </c>
      <c r="F233">
        <v>46</v>
      </c>
      <c r="G233">
        <v>43</v>
      </c>
      <c r="H233">
        <v>42</v>
      </c>
      <c r="I233" s="1">
        <f>AVERAGE(tblStudents[[#This Row],[Math Score]],tblStudents[[#This Row],[Reading Score]],tblStudents[[#This Row],[Writing Score]])</f>
        <v>43.666666666666664</v>
      </c>
      <c r="J233">
        <f>IF(tblStudents[[#This Row],[Average Score]]&gt;=60,1,0)</f>
        <v>0</v>
      </c>
      <c r="K233" t="str">
        <f>IF(tblStudents[[#This Row],[Average Score]]&gt;=60,"Pass","At Risk")</f>
        <v>At Risk</v>
      </c>
      <c r="L233" t="str" cm="1">
        <f t="array" ref="L233">_xlfn.IFS(tblStudents[[#This Row],[Average Score]]&gt;=80,"High",tblStudents[[#This Row],[Average Score]]&gt;=60,"Meets Standard",TRUE,"At Risk")</f>
        <v>At Risk</v>
      </c>
      <c r="M2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234" spans="1:13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>
        <v>67</v>
      </c>
      <c r="G234">
        <v>86</v>
      </c>
      <c r="H234">
        <v>83</v>
      </c>
      <c r="I234" s="1">
        <f>AVERAGE(tblStudents[[#This Row],[Math Score]],tblStudents[[#This Row],[Reading Score]],tblStudents[[#This Row],[Writing Score]])</f>
        <v>78.666666666666671</v>
      </c>
      <c r="J234">
        <f>IF(tblStudents[[#This Row],[Average Score]]&gt;=60,1,0)</f>
        <v>1</v>
      </c>
      <c r="K234" t="str">
        <f>IF(tblStudents[[#This Row],[Average Score]]&gt;=60,"Pass","At Risk")</f>
        <v>Pass</v>
      </c>
      <c r="L234" t="str" cm="1">
        <f t="array" ref="L234">_xlfn.IFS(tblStudents[[#This Row],[Average Score]]&gt;=80,"High",tblStudents[[#This Row],[Average Score]]&gt;=60,"Meets Standard",TRUE,"At Risk")</f>
        <v>Meets Standard</v>
      </c>
      <c r="M2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235" spans="1:13" x14ac:dyDescent="0.25">
      <c r="A235" t="s">
        <v>9</v>
      </c>
      <c r="B235" t="s">
        <v>16</v>
      </c>
      <c r="C235" t="s">
        <v>15</v>
      </c>
      <c r="D235" t="s">
        <v>3</v>
      </c>
      <c r="E235" t="s">
        <v>4</v>
      </c>
      <c r="F235">
        <v>92</v>
      </c>
      <c r="G235">
        <v>87</v>
      </c>
      <c r="H235">
        <v>78</v>
      </c>
      <c r="I235" s="1">
        <f>AVERAGE(tblStudents[[#This Row],[Math Score]],tblStudents[[#This Row],[Reading Score]],tblStudents[[#This Row],[Writing Score]])</f>
        <v>85.666666666666671</v>
      </c>
      <c r="J235">
        <f>IF(tblStudents[[#This Row],[Average Score]]&gt;=60,1,0)</f>
        <v>1</v>
      </c>
      <c r="K235" t="str">
        <f>IF(tblStudents[[#This Row],[Average Score]]&gt;=60,"Pass","At Risk")</f>
        <v>Pass</v>
      </c>
      <c r="L235" t="str" cm="1">
        <f t="array" ref="L235">_xlfn.IFS(tblStudents[[#This Row],[Average Score]]&gt;=80,"High",tblStudents[[#This Row],[Average Score]]&gt;=60,"Meets Standard",TRUE,"At Risk")</f>
        <v>High</v>
      </c>
      <c r="M2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236" spans="1:13" x14ac:dyDescent="0.25">
      <c r="A236" t="s">
        <v>9</v>
      </c>
      <c r="B236" t="s">
        <v>5</v>
      </c>
      <c r="C236" t="s">
        <v>2</v>
      </c>
      <c r="D236" t="s">
        <v>3</v>
      </c>
      <c r="E236" t="s">
        <v>7</v>
      </c>
      <c r="F236">
        <v>83</v>
      </c>
      <c r="G236">
        <v>82</v>
      </c>
      <c r="H236">
        <v>84</v>
      </c>
      <c r="I236" s="1">
        <f>AVERAGE(tblStudents[[#This Row],[Math Score]],tblStudents[[#This Row],[Reading Score]],tblStudents[[#This Row],[Writing Score]])</f>
        <v>83</v>
      </c>
      <c r="J236">
        <f>IF(tblStudents[[#This Row],[Average Score]]&gt;=60,1,0)</f>
        <v>1</v>
      </c>
      <c r="K236" t="str">
        <f>IF(tblStudents[[#This Row],[Average Score]]&gt;=60,"Pass","At Risk")</f>
        <v>Pass</v>
      </c>
      <c r="L236" t="str" cm="1">
        <f t="array" ref="L236">_xlfn.IFS(tblStudents[[#This Row],[Average Score]]&gt;=80,"High",tblStudents[[#This Row],[Average Score]]&gt;=60,"Meets Standard",TRUE,"At Risk")</f>
        <v>High</v>
      </c>
      <c r="M2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237" spans="1:13" x14ac:dyDescent="0.25">
      <c r="A237" t="s">
        <v>9</v>
      </c>
      <c r="B237" t="s">
        <v>13</v>
      </c>
      <c r="C237" t="s">
        <v>11</v>
      </c>
      <c r="D237" t="s">
        <v>3</v>
      </c>
      <c r="E237" t="s">
        <v>4</v>
      </c>
      <c r="F237">
        <v>80</v>
      </c>
      <c r="G237">
        <v>75</v>
      </c>
      <c r="H237">
        <v>77</v>
      </c>
      <c r="I237" s="1">
        <f>AVERAGE(tblStudents[[#This Row],[Math Score]],tblStudents[[#This Row],[Reading Score]],tblStudents[[#This Row],[Writing Score]])</f>
        <v>77.333333333333329</v>
      </c>
      <c r="J237">
        <f>IF(tblStudents[[#This Row],[Average Score]]&gt;=60,1,0)</f>
        <v>1</v>
      </c>
      <c r="K237" t="str">
        <f>IF(tblStudents[[#This Row],[Average Score]]&gt;=60,"Pass","At Risk")</f>
        <v>Pass</v>
      </c>
      <c r="L237" t="str" cm="1">
        <f t="array" ref="L237">_xlfn.IFS(tblStudents[[#This Row],[Average Score]]&gt;=80,"High",tblStudents[[#This Row],[Average Score]]&gt;=60,"Meets Standard",TRUE,"At Risk")</f>
        <v>Meets Standard</v>
      </c>
      <c r="M2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238" spans="1:13" x14ac:dyDescent="0.25">
      <c r="A238" t="s">
        <v>9</v>
      </c>
      <c r="B238" t="s">
        <v>13</v>
      </c>
      <c r="C238" t="s">
        <v>2</v>
      </c>
      <c r="D238" t="s">
        <v>12</v>
      </c>
      <c r="E238" t="s">
        <v>4</v>
      </c>
      <c r="F238">
        <v>63</v>
      </c>
      <c r="G238">
        <v>66</v>
      </c>
      <c r="H238">
        <v>67</v>
      </c>
      <c r="I238" s="1">
        <f>AVERAGE(tblStudents[[#This Row],[Math Score]],tblStudents[[#This Row],[Reading Score]],tblStudents[[#This Row],[Writing Score]])</f>
        <v>65.333333333333329</v>
      </c>
      <c r="J238">
        <f>IF(tblStudents[[#This Row],[Average Score]]&gt;=60,1,0)</f>
        <v>1</v>
      </c>
      <c r="K238" t="str">
        <f>IF(tblStudents[[#This Row],[Average Score]]&gt;=60,"Pass","At Risk")</f>
        <v>Pass</v>
      </c>
      <c r="L238" t="str" cm="1">
        <f t="array" ref="L238">_xlfn.IFS(tblStudents[[#This Row],[Average Score]]&gt;=80,"High",tblStudents[[#This Row],[Average Score]]&gt;=60,"Meets Standard",TRUE,"At Risk")</f>
        <v>Meets Standard</v>
      </c>
      <c r="M2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239" spans="1:13" x14ac:dyDescent="0.25">
      <c r="A239" t="s">
        <v>0</v>
      </c>
      <c r="B239" t="s">
        <v>13</v>
      </c>
      <c r="C239" t="s">
        <v>15</v>
      </c>
      <c r="D239" t="s">
        <v>3</v>
      </c>
      <c r="E239" t="s">
        <v>7</v>
      </c>
      <c r="F239">
        <v>64</v>
      </c>
      <c r="G239">
        <v>60</v>
      </c>
      <c r="H239">
        <v>74</v>
      </c>
      <c r="I239" s="1">
        <f>AVERAGE(tblStudents[[#This Row],[Math Score]],tblStudents[[#This Row],[Reading Score]],tblStudents[[#This Row],[Writing Score]])</f>
        <v>66</v>
      </c>
      <c r="J239">
        <f>IF(tblStudents[[#This Row],[Average Score]]&gt;=60,1,0)</f>
        <v>1</v>
      </c>
      <c r="K239" t="str">
        <f>IF(tblStudents[[#This Row],[Average Score]]&gt;=60,"Pass","At Risk")</f>
        <v>Pass</v>
      </c>
      <c r="L239" t="str" cm="1">
        <f t="array" ref="L239">_xlfn.IFS(tblStudents[[#This Row],[Average Score]]&gt;=80,"High",tblStudents[[#This Row],[Average Score]]&gt;=60,"Meets Standard",TRUE,"At Risk")</f>
        <v>Meets Standard</v>
      </c>
      <c r="M2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240" spans="1:13" x14ac:dyDescent="0.25">
      <c r="A240" t="s">
        <v>9</v>
      </c>
      <c r="B240" t="s">
        <v>1</v>
      </c>
      <c r="C240" t="s">
        <v>6</v>
      </c>
      <c r="D240" t="s">
        <v>3</v>
      </c>
      <c r="E240" t="s">
        <v>4</v>
      </c>
      <c r="F240">
        <v>54</v>
      </c>
      <c r="G240">
        <v>52</v>
      </c>
      <c r="H240">
        <v>51</v>
      </c>
      <c r="I240" s="1">
        <f>AVERAGE(tblStudents[[#This Row],[Math Score]],tblStudents[[#This Row],[Reading Score]],tblStudents[[#This Row],[Writing Score]])</f>
        <v>52.333333333333336</v>
      </c>
      <c r="J240">
        <f>IF(tblStudents[[#This Row],[Average Score]]&gt;=60,1,0)</f>
        <v>0</v>
      </c>
      <c r="K240" t="str">
        <f>IF(tblStudents[[#This Row],[Average Score]]&gt;=60,"Pass","At Risk")</f>
        <v>At Risk</v>
      </c>
      <c r="L240" t="str" cm="1">
        <f t="array" ref="L240">_xlfn.IFS(tblStudents[[#This Row],[Average Score]]&gt;=80,"High",tblStudents[[#This Row],[Average Score]]&gt;=60,"Meets Standard",TRUE,"At Risk")</f>
        <v>At Risk</v>
      </c>
      <c r="M2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241" spans="1:13" x14ac:dyDescent="0.25">
      <c r="A241" t="s">
        <v>9</v>
      </c>
      <c r="B241" t="s">
        <v>5</v>
      </c>
      <c r="C241" t="s">
        <v>11</v>
      </c>
      <c r="D241" t="s">
        <v>3</v>
      </c>
      <c r="E241" t="s">
        <v>4</v>
      </c>
      <c r="F241">
        <v>84</v>
      </c>
      <c r="G241">
        <v>80</v>
      </c>
      <c r="H241">
        <v>80</v>
      </c>
      <c r="I241" s="1">
        <f>AVERAGE(tblStudents[[#This Row],[Math Score]],tblStudents[[#This Row],[Reading Score]],tblStudents[[#This Row],[Writing Score]])</f>
        <v>81.333333333333329</v>
      </c>
      <c r="J241">
        <f>IF(tblStudents[[#This Row],[Average Score]]&gt;=60,1,0)</f>
        <v>1</v>
      </c>
      <c r="K241" t="str">
        <f>IF(tblStudents[[#This Row],[Average Score]]&gt;=60,"Pass","At Risk")</f>
        <v>Pass</v>
      </c>
      <c r="L241" t="str" cm="1">
        <f t="array" ref="L241">_xlfn.IFS(tblStudents[[#This Row],[Average Score]]&gt;=80,"High",tblStudents[[#This Row],[Average Score]]&gt;=60,"Meets Standard",TRUE,"At Risk")</f>
        <v>High</v>
      </c>
      <c r="M2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242" spans="1:13" x14ac:dyDescent="0.25">
      <c r="A242" t="s">
        <v>9</v>
      </c>
      <c r="B242" t="s">
        <v>13</v>
      </c>
      <c r="C242" t="s">
        <v>14</v>
      </c>
      <c r="D242" t="s">
        <v>12</v>
      </c>
      <c r="E242" t="s">
        <v>7</v>
      </c>
      <c r="F242">
        <v>73</v>
      </c>
      <c r="G242">
        <v>68</v>
      </c>
      <c r="H242">
        <v>66</v>
      </c>
      <c r="I242" s="1">
        <f>AVERAGE(tblStudents[[#This Row],[Math Score]],tblStudents[[#This Row],[Reading Score]],tblStudents[[#This Row],[Writing Score]])</f>
        <v>69</v>
      </c>
      <c r="J242">
        <f>IF(tblStudents[[#This Row],[Average Score]]&gt;=60,1,0)</f>
        <v>1</v>
      </c>
      <c r="K242" t="str">
        <f>IF(tblStudents[[#This Row],[Average Score]]&gt;=60,"Pass","At Risk")</f>
        <v>Pass</v>
      </c>
      <c r="L242" t="str" cm="1">
        <f t="array" ref="L242">_xlfn.IFS(tblStudents[[#This Row],[Average Score]]&gt;=80,"High",tblStudents[[#This Row],[Average Score]]&gt;=60,"Meets Standard",TRUE,"At Risk")</f>
        <v>Meets Standard</v>
      </c>
      <c r="M2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43" spans="1:13" x14ac:dyDescent="0.25">
      <c r="A243" t="s">
        <v>0</v>
      </c>
      <c r="B243" t="s">
        <v>16</v>
      </c>
      <c r="C243" t="s">
        <v>2</v>
      </c>
      <c r="D243" t="s">
        <v>3</v>
      </c>
      <c r="E243" t="s">
        <v>4</v>
      </c>
      <c r="F243">
        <v>80</v>
      </c>
      <c r="G243">
        <v>83</v>
      </c>
      <c r="H243">
        <v>83</v>
      </c>
      <c r="I243" s="1">
        <f>AVERAGE(tblStudents[[#This Row],[Math Score]],tblStudents[[#This Row],[Reading Score]],tblStudents[[#This Row],[Writing Score]])</f>
        <v>82</v>
      </c>
      <c r="J243">
        <f>IF(tblStudents[[#This Row],[Average Score]]&gt;=60,1,0)</f>
        <v>1</v>
      </c>
      <c r="K243" t="str">
        <f>IF(tblStudents[[#This Row],[Average Score]]&gt;=60,"Pass","At Risk")</f>
        <v>Pass</v>
      </c>
      <c r="L243" t="str" cm="1">
        <f t="array" ref="L243">_xlfn.IFS(tblStudents[[#This Row],[Average Score]]&gt;=80,"High",tblStudents[[#This Row],[Average Score]]&gt;=60,"Meets Standard",TRUE,"At Risk")</f>
        <v>High</v>
      </c>
      <c r="M2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244" spans="1:13" x14ac:dyDescent="0.25">
      <c r="A244" t="s">
        <v>0</v>
      </c>
      <c r="B244" t="s">
        <v>13</v>
      </c>
      <c r="C244" t="s">
        <v>14</v>
      </c>
      <c r="D244" t="s">
        <v>3</v>
      </c>
      <c r="E244" t="s">
        <v>4</v>
      </c>
      <c r="F244">
        <v>56</v>
      </c>
      <c r="G244">
        <v>52</v>
      </c>
      <c r="H244">
        <v>55</v>
      </c>
      <c r="I244" s="1">
        <f>AVERAGE(tblStudents[[#This Row],[Math Score]],tblStudents[[#This Row],[Reading Score]],tblStudents[[#This Row],[Writing Score]])</f>
        <v>54.333333333333336</v>
      </c>
      <c r="J244">
        <f>IF(tblStudents[[#This Row],[Average Score]]&gt;=60,1,0)</f>
        <v>0</v>
      </c>
      <c r="K244" t="str">
        <f>IF(tblStudents[[#This Row],[Average Score]]&gt;=60,"Pass","At Risk")</f>
        <v>At Risk</v>
      </c>
      <c r="L244" t="str" cm="1">
        <f t="array" ref="L244">_xlfn.IFS(tblStudents[[#This Row],[Average Score]]&gt;=80,"High",tblStudents[[#This Row],[Average Score]]&gt;=60,"Meets Standard",TRUE,"At Risk")</f>
        <v>At Risk</v>
      </c>
      <c r="M2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245" spans="1:13" x14ac:dyDescent="0.25">
      <c r="A245" t="s">
        <v>9</v>
      </c>
      <c r="B245" t="s">
        <v>16</v>
      </c>
      <c r="C245" t="s">
        <v>6</v>
      </c>
      <c r="D245" t="s">
        <v>3</v>
      </c>
      <c r="E245" t="s">
        <v>4</v>
      </c>
      <c r="F245">
        <v>59</v>
      </c>
      <c r="G245">
        <v>51</v>
      </c>
      <c r="H245">
        <v>43</v>
      </c>
      <c r="I245" s="1">
        <f>AVERAGE(tblStudents[[#This Row],[Math Score]],tblStudents[[#This Row],[Reading Score]],tblStudents[[#This Row],[Writing Score]])</f>
        <v>51</v>
      </c>
      <c r="J245">
        <f>IF(tblStudents[[#This Row],[Average Score]]&gt;=60,1,0)</f>
        <v>0</v>
      </c>
      <c r="K245" t="str">
        <f>IF(tblStudents[[#This Row],[Average Score]]&gt;=60,"Pass","At Risk")</f>
        <v>At Risk</v>
      </c>
      <c r="L245" t="str" cm="1">
        <f t="array" ref="L245">_xlfn.IFS(tblStudents[[#This Row],[Average Score]]&gt;=80,"High",tblStudents[[#This Row],[Average Score]]&gt;=60,"Meets Standard",TRUE,"At Risk")</f>
        <v>At Risk</v>
      </c>
      <c r="M2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246" spans="1:13" x14ac:dyDescent="0.25">
      <c r="A246" t="s">
        <v>9</v>
      </c>
      <c r="B246" t="s">
        <v>13</v>
      </c>
      <c r="C246" t="s">
        <v>15</v>
      </c>
      <c r="D246" t="s">
        <v>3</v>
      </c>
      <c r="E246" t="s">
        <v>4</v>
      </c>
      <c r="F246">
        <v>75</v>
      </c>
      <c r="G246">
        <v>74</v>
      </c>
      <c r="H246">
        <v>69</v>
      </c>
      <c r="I246" s="1">
        <f>AVERAGE(tblStudents[[#This Row],[Math Score]],tblStudents[[#This Row],[Reading Score]],tblStudents[[#This Row],[Writing Score]])</f>
        <v>72.666666666666671</v>
      </c>
      <c r="J246">
        <f>IF(tblStudents[[#This Row],[Average Score]]&gt;=60,1,0)</f>
        <v>1</v>
      </c>
      <c r="K246" t="str">
        <f>IF(tblStudents[[#This Row],[Average Score]]&gt;=60,"Pass","At Risk")</f>
        <v>Pass</v>
      </c>
      <c r="L246" t="str" cm="1">
        <f t="array" ref="L246">_xlfn.IFS(tblStudents[[#This Row],[Average Score]]&gt;=80,"High",tblStudents[[#This Row],[Average Score]]&gt;=60,"Meets Standard",TRUE,"At Risk")</f>
        <v>Meets Standard</v>
      </c>
      <c r="M2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247" spans="1:13" x14ac:dyDescent="0.25">
      <c r="A247" t="s">
        <v>9</v>
      </c>
      <c r="B247" t="s">
        <v>5</v>
      </c>
      <c r="C247" t="s">
        <v>11</v>
      </c>
      <c r="D247" t="s">
        <v>3</v>
      </c>
      <c r="E247" t="s">
        <v>4</v>
      </c>
      <c r="F247">
        <v>85</v>
      </c>
      <c r="G247">
        <v>76</v>
      </c>
      <c r="H247">
        <v>71</v>
      </c>
      <c r="I247" s="1">
        <f>AVERAGE(tblStudents[[#This Row],[Math Score]],tblStudents[[#This Row],[Reading Score]],tblStudents[[#This Row],[Writing Score]])</f>
        <v>77.333333333333329</v>
      </c>
      <c r="J247">
        <f>IF(tblStudents[[#This Row],[Average Score]]&gt;=60,1,0)</f>
        <v>1</v>
      </c>
      <c r="K247" t="str">
        <f>IF(tblStudents[[#This Row],[Average Score]]&gt;=60,"Pass","At Risk")</f>
        <v>Pass</v>
      </c>
      <c r="L247" t="str" cm="1">
        <f t="array" ref="L247">_xlfn.IFS(tblStudents[[#This Row],[Average Score]]&gt;=80,"High",tblStudents[[#This Row],[Average Score]]&gt;=60,"Meets Standard",TRUE,"At Risk")</f>
        <v>Meets Standard</v>
      </c>
      <c r="M2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248" spans="1:13" x14ac:dyDescent="0.25">
      <c r="A248" t="s">
        <v>9</v>
      </c>
      <c r="B248" t="s">
        <v>16</v>
      </c>
      <c r="C248" t="s">
        <v>11</v>
      </c>
      <c r="D248" t="s">
        <v>3</v>
      </c>
      <c r="E248" t="s">
        <v>4</v>
      </c>
      <c r="F248">
        <v>89</v>
      </c>
      <c r="G248">
        <v>76</v>
      </c>
      <c r="H248">
        <v>74</v>
      </c>
      <c r="I248" s="1">
        <f>AVERAGE(tblStudents[[#This Row],[Math Score]],tblStudents[[#This Row],[Reading Score]],tblStudents[[#This Row],[Writing Score]])</f>
        <v>79.666666666666671</v>
      </c>
      <c r="J248">
        <f>IF(tblStudents[[#This Row],[Average Score]]&gt;=60,1,0)</f>
        <v>1</v>
      </c>
      <c r="K248" t="str">
        <f>IF(tblStudents[[#This Row],[Average Score]]&gt;=60,"Pass","At Risk")</f>
        <v>Pass</v>
      </c>
      <c r="L248" t="str" cm="1">
        <f t="array" ref="L248">_xlfn.IFS(tblStudents[[#This Row],[Average Score]]&gt;=80,"High",tblStudents[[#This Row],[Average Score]]&gt;=60,"Meets Standard",TRUE,"At Risk")</f>
        <v>Meets Standard</v>
      </c>
      <c r="M2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249" spans="1:13" x14ac:dyDescent="0.25">
      <c r="A249" t="s">
        <v>0</v>
      </c>
      <c r="B249" t="s">
        <v>1</v>
      </c>
      <c r="C249" t="s">
        <v>14</v>
      </c>
      <c r="D249" t="s">
        <v>3</v>
      </c>
      <c r="E249" t="s">
        <v>7</v>
      </c>
      <c r="F249">
        <v>58</v>
      </c>
      <c r="G249">
        <v>70</v>
      </c>
      <c r="H249">
        <v>68</v>
      </c>
      <c r="I249" s="1">
        <f>AVERAGE(tblStudents[[#This Row],[Math Score]],tblStudents[[#This Row],[Reading Score]],tblStudents[[#This Row],[Writing Score]])</f>
        <v>65.333333333333329</v>
      </c>
      <c r="J249">
        <f>IF(tblStudents[[#This Row],[Average Score]]&gt;=60,1,0)</f>
        <v>1</v>
      </c>
      <c r="K249" t="str">
        <f>IF(tblStudents[[#This Row],[Average Score]]&gt;=60,"Pass","At Risk")</f>
        <v>Pass</v>
      </c>
      <c r="L249" t="str" cm="1">
        <f t="array" ref="L249">_xlfn.IFS(tblStudents[[#This Row],[Average Score]]&gt;=80,"High",tblStudents[[#This Row],[Average Score]]&gt;=60,"Meets Standard",TRUE,"At Risk")</f>
        <v>Meets Standard</v>
      </c>
      <c r="M2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250" spans="1:13" x14ac:dyDescent="0.25">
      <c r="A250" t="s">
        <v>0</v>
      </c>
      <c r="B250" t="s">
        <v>1</v>
      </c>
      <c r="C250" t="s">
        <v>14</v>
      </c>
      <c r="D250" t="s">
        <v>3</v>
      </c>
      <c r="E250" t="s">
        <v>4</v>
      </c>
      <c r="F250">
        <v>65</v>
      </c>
      <c r="G250">
        <v>64</v>
      </c>
      <c r="H250">
        <v>62</v>
      </c>
      <c r="I250" s="1">
        <f>AVERAGE(tblStudents[[#This Row],[Math Score]],tblStudents[[#This Row],[Reading Score]],tblStudents[[#This Row],[Writing Score]])</f>
        <v>63.666666666666664</v>
      </c>
      <c r="J250">
        <f>IF(tblStudents[[#This Row],[Average Score]]&gt;=60,1,0)</f>
        <v>1</v>
      </c>
      <c r="K250" t="str">
        <f>IF(tblStudents[[#This Row],[Average Score]]&gt;=60,"Pass","At Risk")</f>
        <v>Pass</v>
      </c>
      <c r="L250" t="str" cm="1">
        <f t="array" ref="L250">_xlfn.IFS(tblStudents[[#This Row],[Average Score]]&gt;=80,"High",tblStudents[[#This Row],[Average Score]]&gt;=60,"Meets Standard",TRUE,"At Risk")</f>
        <v>Meets Standard</v>
      </c>
      <c r="M2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251" spans="1:13" x14ac:dyDescent="0.25">
      <c r="A251" t="s">
        <v>9</v>
      </c>
      <c r="B251" t="s">
        <v>5</v>
      </c>
      <c r="C251" t="s">
        <v>14</v>
      </c>
      <c r="D251" t="s">
        <v>3</v>
      </c>
      <c r="E251" t="s">
        <v>4</v>
      </c>
      <c r="F251">
        <v>68</v>
      </c>
      <c r="G251">
        <v>60</v>
      </c>
      <c r="H251">
        <v>53</v>
      </c>
      <c r="I251" s="1">
        <f>AVERAGE(tblStudents[[#This Row],[Math Score]],tblStudents[[#This Row],[Reading Score]],tblStudents[[#This Row],[Writing Score]])</f>
        <v>60.333333333333336</v>
      </c>
      <c r="J251">
        <f>IF(tblStudents[[#This Row],[Average Score]]&gt;=60,1,0)</f>
        <v>1</v>
      </c>
      <c r="K251" t="str">
        <f>IF(tblStudents[[#This Row],[Average Score]]&gt;=60,"Pass","At Risk")</f>
        <v>Pass</v>
      </c>
      <c r="L251" t="str" cm="1">
        <f t="array" ref="L251">_xlfn.IFS(tblStudents[[#This Row],[Average Score]]&gt;=80,"High",tblStudents[[#This Row],[Average Score]]&gt;=60,"Meets Standard",TRUE,"At Risk")</f>
        <v>Meets Standard</v>
      </c>
      <c r="M2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252" spans="1:13" x14ac:dyDescent="0.25">
      <c r="A252" t="s">
        <v>9</v>
      </c>
      <c r="B252" t="s">
        <v>10</v>
      </c>
      <c r="C252" t="s">
        <v>15</v>
      </c>
      <c r="D252" t="s">
        <v>3</v>
      </c>
      <c r="E252" t="s">
        <v>7</v>
      </c>
      <c r="F252">
        <v>47</v>
      </c>
      <c r="G252">
        <v>49</v>
      </c>
      <c r="H252">
        <v>49</v>
      </c>
      <c r="I252" s="1">
        <f>AVERAGE(tblStudents[[#This Row],[Math Score]],tblStudents[[#This Row],[Reading Score]],tblStudents[[#This Row],[Writing Score]])</f>
        <v>48.333333333333336</v>
      </c>
      <c r="J252">
        <f>IF(tblStudents[[#This Row],[Average Score]]&gt;=60,1,0)</f>
        <v>0</v>
      </c>
      <c r="K252" t="str">
        <f>IF(tblStudents[[#This Row],[Average Score]]&gt;=60,"Pass","At Risk")</f>
        <v>At Risk</v>
      </c>
      <c r="L252" t="str" cm="1">
        <f t="array" ref="L252">_xlfn.IFS(tblStudents[[#This Row],[Average Score]]&gt;=80,"High",tblStudents[[#This Row],[Average Score]]&gt;=60,"Meets Standard",TRUE,"At Risk")</f>
        <v>At Risk</v>
      </c>
      <c r="M2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253" spans="1:13" x14ac:dyDescent="0.25">
      <c r="A253" t="s">
        <v>0</v>
      </c>
      <c r="B253" t="s">
        <v>13</v>
      </c>
      <c r="C253" t="s">
        <v>6</v>
      </c>
      <c r="D253" t="s">
        <v>12</v>
      </c>
      <c r="E253" t="s">
        <v>4</v>
      </c>
      <c r="F253">
        <v>71</v>
      </c>
      <c r="G253">
        <v>83</v>
      </c>
      <c r="H253">
        <v>83</v>
      </c>
      <c r="I253" s="1">
        <f>AVERAGE(tblStudents[[#This Row],[Math Score]],tblStudents[[#This Row],[Reading Score]],tblStudents[[#This Row],[Writing Score]])</f>
        <v>79</v>
      </c>
      <c r="J253">
        <f>IF(tblStudents[[#This Row],[Average Score]]&gt;=60,1,0)</f>
        <v>1</v>
      </c>
      <c r="K253" t="str">
        <f>IF(tblStudents[[#This Row],[Average Score]]&gt;=60,"Pass","At Risk")</f>
        <v>Pass</v>
      </c>
      <c r="L253" t="str" cm="1">
        <f t="array" ref="L253">_xlfn.IFS(tblStudents[[#This Row],[Average Score]]&gt;=80,"High",tblStudents[[#This Row],[Average Score]]&gt;=60,"Meets Standard",TRUE,"At Risk")</f>
        <v>Meets Standard</v>
      </c>
      <c r="M2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254" spans="1:13" x14ac:dyDescent="0.25">
      <c r="A254" t="s">
        <v>0</v>
      </c>
      <c r="B254" t="s">
        <v>1</v>
      </c>
      <c r="C254" t="s">
        <v>15</v>
      </c>
      <c r="D254" t="s">
        <v>3</v>
      </c>
      <c r="E254" t="s">
        <v>7</v>
      </c>
      <c r="F254">
        <v>60</v>
      </c>
      <c r="G254">
        <v>70</v>
      </c>
      <c r="H254">
        <v>70</v>
      </c>
      <c r="I254" s="1">
        <f>AVERAGE(tblStudents[[#This Row],[Math Score]],tblStudents[[#This Row],[Reading Score]],tblStudents[[#This Row],[Writing Score]])</f>
        <v>66.666666666666671</v>
      </c>
      <c r="J254">
        <f>IF(tblStudents[[#This Row],[Average Score]]&gt;=60,1,0)</f>
        <v>1</v>
      </c>
      <c r="K254" t="str">
        <f>IF(tblStudents[[#This Row],[Average Score]]&gt;=60,"Pass","At Risk")</f>
        <v>Pass</v>
      </c>
      <c r="L254" t="str" cm="1">
        <f t="array" ref="L254">_xlfn.IFS(tblStudents[[#This Row],[Average Score]]&gt;=80,"High",tblStudents[[#This Row],[Average Score]]&gt;=60,"Meets Standard",TRUE,"At Risk")</f>
        <v>Meets Standard</v>
      </c>
      <c r="M2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55" spans="1:13" x14ac:dyDescent="0.25">
      <c r="A255" t="s">
        <v>9</v>
      </c>
      <c r="B255" t="s">
        <v>13</v>
      </c>
      <c r="C255" t="s">
        <v>8</v>
      </c>
      <c r="D255" t="s">
        <v>3</v>
      </c>
      <c r="E255" t="s">
        <v>4</v>
      </c>
      <c r="F255">
        <v>80</v>
      </c>
      <c r="G255">
        <v>80</v>
      </c>
      <c r="H255">
        <v>72</v>
      </c>
      <c r="I255" s="1">
        <f>AVERAGE(tblStudents[[#This Row],[Math Score]],tblStudents[[#This Row],[Reading Score]],tblStudents[[#This Row],[Writing Score]])</f>
        <v>77.333333333333329</v>
      </c>
      <c r="J255">
        <f>IF(tblStudents[[#This Row],[Average Score]]&gt;=60,1,0)</f>
        <v>1</v>
      </c>
      <c r="K255" t="str">
        <f>IF(tblStudents[[#This Row],[Average Score]]&gt;=60,"Pass","At Risk")</f>
        <v>Pass</v>
      </c>
      <c r="L255" t="str" cm="1">
        <f t="array" ref="L255">_xlfn.IFS(tblStudents[[#This Row],[Average Score]]&gt;=80,"High",tblStudents[[#This Row],[Average Score]]&gt;=60,"Meets Standard",TRUE,"At Risk")</f>
        <v>Meets Standard</v>
      </c>
      <c r="M2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56" spans="1:13" x14ac:dyDescent="0.25">
      <c r="A256" t="s">
        <v>9</v>
      </c>
      <c r="B256" t="s">
        <v>13</v>
      </c>
      <c r="C256" t="s">
        <v>14</v>
      </c>
      <c r="D256" t="s">
        <v>3</v>
      </c>
      <c r="E256" t="s">
        <v>4</v>
      </c>
      <c r="F256">
        <v>54</v>
      </c>
      <c r="G256">
        <v>52</v>
      </c>
      <c r="H256">
        <v>52</v>
      </c>
      <c r="I256" s="1">
        <f>AVERAGE(tblStudents[[#This Row],[Math Score]],tblStudents[[#This Row],[Reading Score]],tblStudents[[#This Row],[Writing Score]])</f>
        <v>52.666666666666664</v>
      </c>
      <c r="J256">
        <f>IF(tblStudents[[#This Row],[Average Score]]&gt;=60,1,0)</f>
        <v>0</v>
      </c>
      <c r="K256" t="str">
        <f>IF(tblStudents[[#This Row],[Average Score]]&gt;=60,"Pass","At Risk")</f>
        <v>At Risk</v>
      </c>
      <c r="L256" t="str" cm="1">
        <f t="array" ref="L256">_xlfn.IFS(tblStudents[[#This Row],[Average Score]]&gt;=80,"High",tblStudents[[#This Row],[Average Score]]&gt;=60,"Meets Standard",TRUE,"At Risk")</f>
        <v>At Risk</v>
      </c>
      <c r="M2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257" spans="1:13" x14ac:dyDescent="0.25">
      <c r="A257" t="s">
        <v>0</v>
      </c>
      <c r="B257" t="s">
        <v>16</v>
      </c>
      <c r="C257" t="s">
        <v>6</v>
      </c>
      <c r="D257" t="s">
        <v>3</v>
      </c>
      <c r="E257" t="s">
        <v>4</v>
      </c>
      <c r="F257">
        <v>62</v>
      </c>
      <c r="G257">
        <v>73</v>
      </c>
      <c r="H257">
        <v>70</v>
      </c>
      <c r="I257" s="1">
        <f>AVERAGE(tblStudents[[#This Row],[Math Score]],tblStudents[[#This Row],[Reading Score]],tblStudents[[#This Row],[Writing Score]])</f>
        <v>68.333333333333329</v>
      </c>
      <c r="J257">
        <f>IF(tblStudents[[#This Row],[Average Score]]&gt;=60,1,0)</f>
        <v>1</v>
      </c>
      <c r="K257" t="str">
        <f>IF(tblStudents[[#This Row],[Average Score]]&gt;=60,"Pass","At Risk")</f>
        <v>Pass</v>
      </c>
      <c r="L257" t="str" cm="1">
        <f t="array" ref="L257">_xlfn.IFS(tblStudents[[#This Row],[Average Score]]&gt;=80,"High",tblStudents[[#This Row],[Average Score]]&gt;=60,"Meets Standard",TRUE,"At Risk")</f>
        <v>Meets Standard</v>
      </c>
      <c r="M2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58" spans="1:13" x14ac:dyDescent="0.25">
      <c r="A258" t="s">
        <v>0</v>
      </c>
      <c r="B258" t="s">
        <v>5</v>
      </c>
      <c r="C258" t="s">
        <v>11</v>
      </c>
      <c r="D258" t="s">
        <v>12</v>
      </c>
      <c r="E258" t="s">
        <v>4</v>
      </c>
      <c r="F258">
        <v>64</v>
      </c>
      <c r="G258">
        <v>73</v>
      </c>
      <c r="H258">
        <v>68</v>
      </c>
      <c r="I258" s="1">
        <f>AVERAGE(tblStudents[[#This Row],[Math Score]],tblStudents[[#This Row],[Reading Score]],tblStudents[[#This Row],[Writing Score]])</f>
        <v>68.333333333333329</v>
      </c>
      <c r="J258">
        <f>IF(tblStudents[[#This Row],[Average Score]]&gt;=60,1,0)</f>
        <v>1</v>
      </c>
      <c r="K258" t="str">
        <f>IF(tblStudents[[#This Row],[Average Score]]&gt;=60,"Pass","At Risk")</f>
        <v>Pass</v>
      </c>
      <c r="L258" t="str" cm="1">
        <f t="array" ref="L258">_xlfn.IFS(tblStudents[[#This Row],[Average Score]]&gt;=80,"High",tblStudents[[#This Row],[Average Score]]&gt;=60,"Meets Standard",TRUE,"At Risk")</f>
        <v>Meets Standard</v>
      </c>
      <c r="M2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259" spans="1:13" x14ac:dyDescent="0.25">
      <c r="A259" t="s">
        <v>9</v>
      </c>
      <c r="B259" t="s">
        <v>5</v>
      </c>
      <c r="C259" t="s">
        <v>11</v>
      </c>
      <c r="D259" t="s">
        <v>3</v>
      </c>
      <c r="E259" t="s">
        <v>7</v>
      </c>
      <c r="F259">
        <v>78</v>
      </c>
      <c r="G259">
        <v>77</v>
      </c>
      <c r="H259">
        <v>77</v>
      </c>
      <c r="I259" s="1">
        <f>AVERAGE(tblStudents[[#This Row],[Math Score]],tblStudents[[#This Row],[Reading Score]],tblStudents[[#This Row],[Writing Score]])</f>
        <v>77.333333333333329</v>
      </c>
      <c r="J259">
        <f>IF(tblStudents[[#This Row],[Average Score]]&gt;=60,1,0)</f>
        <v>1</v>
      </c>
      <c r="K259" t="str">
        <f>IF(tblStudents[[#This Row],[Average Score]]&gt;=60,"Pass","At Risk")</f>
        <v>Pass</v>
      </c>
      <c r="L259" t="str" cm="1">
        <f t="array" ref="L259">_xlfn.IFS(tblStudents[[#This Row],[Average Score]]&gt;=80,"High",tblStudents[[#This Row],[Average Score]]&gt;=60,"Meets Standard",TRUE,"At Risk")</f>
        <v>Meets Standard</v>
      </c>
      <c r="M2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260" spans="1:13" x14ac:dyDescent="0.25">
      <c r="A260" t="s">
        <v>0</v>
      </c>
      <c r="B260" t="s">
        <v>1</v>
      </c>
      <c r="C260" t="s">
        <v>6</v>
      </c>
      <c r="D260" t="s">
        <v>3</v>
      </c>
      <c r="E260" t="s">
        <v>4</v>
      </c>
      <c r="F260">
        <v>70</v>
      </c>
      <c r="G260">
        <v>75</v>
      </c>
      <c r="H260">
        <v>78</v>
      </c>
      <c r="I260" s="1">
        <f>AVERAGE(tblStudents[[#This Row],[Math Score]],tblStudents[[#This Row],[Reading Score]],tblStudents[[#This Row],[Writing Score]])</f>
        <v>74.333333333333329</v>
      </c>
      <c r="J260">
        <f>IF(tblStudents[[#This Row],[Average Score]]&gt;=60,1,0)</f>
        <v>1</v>
      </c>
      <c r="K260" t="str">
        <f>IF(tblStudents[[#This Row],[Average Score]]&gt;=60,"Pass","At Risk")</f>
        <v>Pass</v>
      </c>
      <c r="L260" t="str" cm="1">
        <f t="array" ref="L260">_xlfn.IFS(tblStudents[[#This Row],[Average Score]]&gt;=80,"High",tblStudents[[#This Row],[Average Score]]&gt;=60,"Meets Standard",TRUE,"At Risk")</f>
        <v>Meets Standard</v>
      </c>
      <c r="M2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61" spans="1:13" x14ac:dyDescent="0.25">
      <c r="A261" t="s">
        <v>0</v>
      </c>
      <c r="B261" t="s">
        <v>5</v>
      </c>
      <c r="C261" t="s">
        <v>8</v>
      </c>
      <c r="D261" t="s">
        <v>12</v>
      </c>
      <c r="E261" t="s">
        <v>7</v>
      </c>
      <c r="F261">
        <v>65</v>
      </c>
      <c r="G261">
        <v>81</v>
      </c>
      <c r="H261">
        <v>81</v>
      </c>
      <c r="I261" s="1">
        <f>AVERAGE(tblStudents[[#This Row],[Math Score]],tblStudents[[#This Row],[Reading Score]],tblStudents[[#This Row],[Writing Score]])</f>
        <v>75.666666666666671</v>
      </c>
      <c r="J261">
        <f>IF(tblStudents[[#This Row],[Average Score]]&gt;=60,1,0)</f>
        <v>1</v>
      </c>
      <c r="K261" t="str">
        <f>IF(tblStudents[[#This Row],[Average Score]]&gt;=60,"Pass","At Risk")</f>
        <v>Pass</v>
      </c>
      <c r="L261" t="str" cm="1">
        <f t="array" ref="L261">_xlfn.IFS(tblStudents[[#This Row],[Average Score]]&gt;=80,"High",tblStudents[[#This Row],[Average Score]]&gt;=60,"Meets Standard",TRUE,"At Risk")</f>
        <v>Meets Standard</v>
      </c>
      <c r="M2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262" spans="1:13" x14ac:dyDescent="0.25">
      <c r="A262" t="s">
        <v>0</v>
      </c>
      <c r="B262" t="s">
        <v>5</v>
      </c>
      <c r="C262" t="s">
        <v>15</v>
      </c>
      <c r="D262" t="s">
        <v>12</v>
      </c>
      <c r="E262" t="s">
        <v>7</v>
      </c>
      <c r="F262">
        <v>64</v>
      </c>
      <c r="G262">
        <v>79</v>
      </c>
      <c r="H262">
        <v>77</v>
      </c>
      <c r="I262" s="1">
        <f>AVERAGE(tblStudents[[#This Row],[Math Score]],tblStudents[[#This Row],[Reading Score]],tblStudents[[#This Row],[Writing Score]])</f>
        <v>73.333333333333329</v>
      </c>
      <c r="J262">
        <f>IF(tblStudents[[#This Row],[Average Score]]&gt;=60,1,0)</f>
        <v>1</v>
      </c>
      <c r="K262" t="str">
        <f>IF(tblStudents[[#This Row],[Average Score]]&gt;=60,"Pass","At Risk")</f>
        <v>Pass</v>
      </c>
      <c r="L262" t="str" cm="1">
        <f t="array" ref="L262">_xlfn.IFS(tblStudents[[#This Row],[Average Score]]&gt;=80,"High",tblStudents[[#This Row],[Average Score]]&gt;=60,"Meets Standard",TRUE,"At Risk")</f>
        <v>Meets Standard</v>
      </c>
      <c r="M2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263" spans="1:13" x14ac:dyDescent="0.25">
      <c r="A263" t="s">
        <v>9</v>
      </c>
      <c r="B263" t="s">
        <v>5</v>
      </c>
      <c r="C263" t="s">
        <v>6</v>
      </c>
      <c r="D263" t="s">
        <v>3</v>
      </c>
      <c r="E263" t="s">
        <v>7</v>
      </c>
      <c r="F263">
        <v>79</v>
      </c>
      <c r="G263">
        <v>79</v>
      </c>
      <c r="H263">
        <v>78</v>
      </c>
      <c r="I263" s="1">
        <f>AVERAGE(tblStudents[[#This Row],[Math Score]],tblStudents[[#This Row],[Reading Score]],tblStudents[[#This Row],[Writing Score]])</f>
        <v>78.666666666666671</v>
      </c>
      <c r="J263">
        <f>IF(tblStudents[[#This Row],[Average Score]]&gt;=60,1,0)</f>
        <v>1</v>
      </c>
      <c r="K263" t="str">
        <f>IF(tblStudents[[#This Row],[Average Score]]&gt;=60,"Pass","At Risk")</f>
        <v>Pass</v>
      </c>
      <c r="L263" t="str" cm="1">
        <f t="array" ref="L263">_xlfn.IFS(tblStudents[[#This Row],[Average Score]]&gt;=80,"High",tblStudents[[#This Row],[Average Score]]&gt;=60,"Meets Standard",TRUE,"At Risk")</f>
        <v>Meets Standard</v>
      </c>
      <c r="M2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264" spans="1:13" x14ac:dyDescent="0.25">
      <c r="A264" t="s">
        <v>0</v>
      </c>
      <c r="B264" t="s">
        <v>5</v>
      </c>
      <c r="C264" t="s">
        <v>15</v>
      </c>
      <c r="D264" t="s">
        <v>12</v>
      </c>
      <c r="E264" t="s">
        <v>4</v>
      </c>
      <c r="F264">
        <v>44</v>
      </c>
      <c r="G264">
        <v>50</v>
      </c>
      <c r="H264">
        <v>51</v>
      </c>
      <c r="I264" s="1">
        <f>AVERAGE(tblStudents[[#This Row],[Math Score]],tblStudents[[#This Row],[Reading Score]],tblStudents[[#This Row],[Writing Score]])</f>
        <v>48.333333333333336</v>
      </c>
      <c r="J264">
        <f>IF(tblStudents[[#This Row],[Average Score]]&gt;=60,1,0)</f>
        <v>0</v>
      </c>
      <c r="K264" t="str">
        <f>IF(tblStudents[[#This Row],[Average Score]]&gt;=60,"Pass","At Risk")</f>
        <v>At Risk</v>
      </c>
      <c r="L264" t="str" cm="1">
        <f t="array" ref="L264">_xlfn.IFS(tblStudents[[#This Row],[Average Score]]&gt;=80,"High",tblStudents[[#This Row],[Average Score]]&gt;=60,"Meets Standard",TRUE,"At Risk")</f>
        <v>At Risk</v>
      </c>
      <c r="M2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65" spans="1:13" x14ac:dyDescent="0.25">
      <c r="A265" t="s">
        <v>0</v>
      </c>
      <c r="B265" t="s">
        <v>16</v>
      </c>
      <c r="C265" t="s">
        <v>14</v>
      </c>
      <c r="D265" t="s">
        <v>3</v>
      </c>
      <c r="E265" t="s">
        <v>4</v>
      </c>
      <c r="F265">
        <v>99</v>
      </c>
      <c r="G265">
        <v>93</v>
      </c>
      <c r="H265">
        <v>90</v>
      </c>
      <c r="I265" s="1">
        <f>AVERAGE(tblStudents[[#This Row],[Math Score]],tblStudents[[#This Row],[Reading Score]],tblStudents[[#This Row],[Writing Score]])</f>
        <v>94</v>
      </c>
      <c r="J265">
        <f>IF(tblStudents[[#This Row],[Average Score]]&gt;=60,1,0)</f>
        <v>1</v>
      </c>
      <c r="K265" t="str">
        <f>IF(tblStudents[[#This Row],[Average Score]]&gt;=60,"Pass","At Risk")</f>
        <v>Pass</v>
      </c>
      <c r="L265" t="str" cm="1">
        <f t="array" ref="L265">_xlfn.IFS(tblStudents[[#This Row],[Average Score]]&gt;=80,"High",tblStudents[[#This Row],[Average Score]]&gt;=60,"Meets Standard",TRUE,"At Risk")</f>
        <v>High</v>
      </c>
      <c r="M2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266" spans="1:13" x14ac:dyDescent="0.25">
      <c r="A266" t="s">
        <v>9</v>
      </c>
      <c r="B266" t="s">
        <v>13</v>
      </c>
      <c r="C266" t="s">
        <v>14</v>
      </c>
      <c r="D266" t="s">
        <v>3</v>
      </c>
      <c r="E266" t="s">
        <v>4</v>
      </c>
      <c r="F266">
        <v>76</v>
      </c>
      <c r="G266">
        <v>73</v>
      </c>
      <c r="H266">
        <v>68</v>
      </c>
      <c r="I266" s="1">
        <f>AVERAGE(tblStudents[[#This Row],[Math Score]],tblStudents[[#This Row],[Reading Score]],tblStudents[[#This Row],[Writing Score]])</f>
        <v>72.333333333333329</v>
      </c>
      <c r="J266">
        <f>IF(tblStudents[[#This Row],[Average Score]]&gt;=60,1,0)</f>
        <v>1</v>
      </c>
      <c r="K266" t="str">
        <f>IF(tblStudents[[#This Row],[Average Score]]&gt;=60,"Pass","At Risk")</f>
        <v>Pass</v>
      </c>
      <c r="L266" t="str" cm="1">
        <f t="array" ref="L266">_xlfn.IFS(tblStudents[[#This Row],[Average Score]]&gt;=80,"High",tblStudents[[#This Row],[Average Score]]&gt;=60,"Meets Standard",TRUE,"At Risk")</f>
        <v>Meets Standard</v>
      </c>
      <c r="M2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67" spans="1:13" x14ac:dyDescent="0.25">
      <c r="A267" t="s">
        <v>9</v>
      </c>
      <c r="B267" t="s">
        <v>13</v>
      </c>
      <c r="C267" t="s">
        <v>15</v>
      </c>
      <c r="D267" t="s">
        <v>12</v>
      </c>
      <c r="E267" t="s">
        <v>4</v>
      </c>
      <c r="F267">
        <v>59</v>
      </c>
      <c r="G267">
        <v>42</v>
      </c>
      <c r="H267">
        <v>41</v>
      </c>
      <c r="I267" s="1">
        <f>AVERAGE(tblStudents[[#This Row],[Math Score]],tblStudents[[#This Row],[Reading Score]],tblStudents[[#This Row],[Writing Score]])</f>
        <v>47.333333333333336</v>
      </c>
      <c r="J267">
        <f>IF(tblStudents[[#This Row],[Average Score]]&gt;=60,1,0)</f>
        <v>0</v>
      </c>
      <c r="K267" t="str">
        <f>IF(tblStudents[[#This Row],[Average Score]]&gt;=60,"Pass","At Risk")</f>
        <v>At Risk</v>
      </c>
      <c r="L267" t="str" cm="1">
        <f t="array" ref="L267">_xlfn.IFS(tblStudents[[#This Row],[Average Score]]&gt;=80,"High",tblStudents[[#This Row],[Average Score]]&gt;=60,"Meets Standard",TRUE,"At Risk")</f>
        <v>At Risk</v>
      </c>
      <c r="M2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268" spans="1:13" x14ac:dyDescent="0.25">
      <c r="A268" t="s">
        <v>0</v>
      </c>
      <c r="B268" t="s">
        <v>5</v>
      </c>
      <c r="C268" t="s">
        <v>2</v>
      </c>
      <c r="D268" t="s">
        <v>3</v>
      </c>
      <c r="E268" t="s">
        <v>4</v>
      </c>
      <c r="F268">
        <v>63</v>
      </c>
      <c r="G268">
        <v>75</v>
      </c>
      <c r="H268">
        <v>81</v>
      </c>
      <c r="I268" s="1">
        <f>AVERAGE(tblStudents[[#This Row],[Math Score]],tblStudents[[#This Row],[Reading Score]],tblStudents[[#This Row],[Writing Score]])</f>
        <v>73</v>
      </c>
      <c r="J268">
        <f>IF(tblStudents[[#This Row],[Average Score]]&gt;=60,1,0)</f>
        <v>1</v>
      </c>
      <c r="K268" t="str">
        <f>IF(tblStudents[[#This Row],[Average Score]]&gt;=60,"Pass","At Risk")</f>
        <v>Pass</v>
      </c>
      <c r="L268" t="str" cm="1">
        <f t="array" ref="L268">_xlfn.IFS(tblStudents[[#This Row],[Average Score]]&gt;=80,"High",tblStudents[[#This Row],[Average Score]]&gt;=60,"Meets Standard",TRUE,"At Risk")</f>
        <v>Meets Standard</v>
      </c>
      <c r="M2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269" spans="1:13" x14ac:dyDescent="0.25">
      <c r="A269" t="s">
        <v>0</v>
      </c>
      <c r="B269" t="s">
        <v>13</v>
      </c>
      <c r="C269" t="s">
        <v>14</v>
      </c>
      <c r="D269" t="s">
        <v>3</v>
      </c>
      <c r="E269" t="s">
        <v>4</v>
      </c>
      <c r="F269">
        <v>69</v>
      </c>
      <c r="G269">
        <v>72</v>
      </c>
      <c r="H269">
        <v>77</v>
      </c>
      <c r="I269" s="1">
        <f>AVERAGE(tblStudents[[#This Row],[Math Score]],tblStudents[[#This Row],[Reading Score]],tblStudents[[#This Row],[Writing Score]])</f>
        <v>72.666666666666671</v>
      </c>
      <c r="J269">
        <f>IF(tblStudents[[#This Row],[Average Score]]&gt;=60,1,0)</f>
        <v>1</v>
      </c>
      <c r="K269" t="str">
        <f>IF(tblStudents[[#This Row],[Average Score]]&gt;=60,"Pass","At Risk")</f>
        <v>Pass</v>
      </c>
      <c r="L269" t="str" cm="1">
        <f t="array" ref="L269">_xlfn.IFS(tblStudents[[#This Row],[Average Score]]&gt;=80,"High",tblStudents[[#This Row],[Average Score]]&gt;=60,"Meets Standard",TRUE,"At Risk")</f>
        <v>Meets Standard</v>
      </c>
      <c r="M2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70" spans="1:13" x14ac:dyDescent="0.25">
      <c r="A270" t="s">
        <v>0</v>
      </c>
      <c r="B270" t="s">
        <v>13</v>
      </c>
      <c r="C270" t="s">
        <v>11</v>
      </c>
      <c r="D270" t="s">
        <v>3</v>
      </c>
      <c r="E270" t="s">
        <v>7</v>
      </c>
      <c r="F270">
        <v>88</v>
      </c>
      <c r="G270">
        <v>92</v>
      </c>
      <c r="H270">
        <v>95</v>
      </c>
      <c r="I270" s="1">
        <f>AVERAGE(tblStudents[[#This Row],[Math Score]],tblStudents[[#This Row],[Reading Score]],tblStudents[[#This Row],[Writing Score]])</f>
        <v>91.666666666666671</v>
      </c>
      <c r="J270">
        <f>IF(tblStudents[[#This Row],[Average Score]]&gt;=60,1,0)</f>
        <v>1</v>
      </c>
      <c r="K270" t="str">
        <f>IF(tblStudents[[#This Row],[Average Score]]&gt;=60,"Pass","At Risk")</f>
        <v>Pass</v>
      </c>
      <c r="L270" t="str" cm="1">
        <f t="array" ref="L270">_xlfn.IFS(tblStudents[[#This Row],[Average Score]]&gt;=80,"High",tblStudents[[#This Row],[Average Score]]&gt;=60,"Meets Standard",TRUE,"At Risk")</f>
        <v>High</v>
      </c>
      <c r="M2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71" spans="1:13" x14ac:dyDescent="0.25">
      <c r="A271" t="s">
        <v>0</v>
      </c>
      <c r="B271" t="s">
        <v>16</v>
      </c>
      <c r="C271" t="s">
        <v>6</v>
      </c>
      <c r="D271" t="s">
        <v>12</v>
      </c>
      <c r="E271" t="s">
        <v>4</v>
      </c>
      <c r="F271">
        <v>71</v>
      </c>
      <c r="G271">
        <v>76</v>
      </c>
      <c r="H271">
        <v>70</v>
      </c>
      <c r="I271" s="1">
        <f>AVERAGE(tblStudents[[#This Row],[Math Score]],tblStudents[[#This Row],[Reading Score]],tblStudents[[#This Row],[Writing Score]])</f>
        <v>72.333333333333329</v>
      </c>
      <c r="J271">
        <f>IF(tblStudents[[#This Row],[Average Score]]&gt;=60,1,0)</f>
        <v>1</v>
      </c>
      <c r="K271" t="str">
        <f>IF(tblStudents[[#This Row],[Average Score]]&gt;=60,"Pass","At Risk")</f>
        <v>Pass</v>
      </c>
      <c r="L271" t="str" cm="1">
        <f t="array" ref="L271">_xlfn.IFS(tblStudents[[#This Row],[Average Score]]&gt;=80,"High",tblStudents[[#This Row],[Average Score]]&gt;=60,"Meets Standard",TRUE,"At Risk")</f>
        <v>Meets Standard</v>
      </c>
      <c r="M2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272" spans="1:13" x14ac:dyDescent="0.25">
      <c r="A272" t="s">
        <v>9</v>
      </c>
      <c r="B272" t="s">
        <v>5</v>
      </c>
      <c r="C272" t="s">
        <v>2</v>
      </c>
      <c r="D272" t="s">
        <v>3</v>
      </c>
      <c r="E272" t="s">
        <v>4</v>
      </c>
      <c r="F272">
        <v>69</v>
      </c>
      <c r="G272">
        <v>63</v>
      </c>
      <c r="H272">
        <v>61</v>
      </c>
      <c r="I272" s="1">
        <f>AVERAGE(tblStudents[[#This Row],[Math Score]],tblStudents[[#This Row],[Reading Score]],tblStudents[[#This Row],[Writing Score]])</f>
        <v>64.333333333333329</v>
      </c>
      <c r="J272">
        <f>IF(tblStudents[[#This Row],[Average Score]]&gt;=60,1,0)</f>
        <v>1</v>
      </c>
      <c r="K272" t="str">
        <f>IF(tblStudents[[#This Row],[Average Score]]&gt;=60,"Pass","At Risk")</f>
        <v>Pass</v>
      </c>
      <c r="L272" t="str" cm="1">
        <f t="array" ref="L272">_xlfn.IFS(tblStudents[[#This Row],[Average Score]]&gt;=80,"High",tblStudents[[#This Row],[Average Score]]&gt;=60,"Meets Standard",TRUE,"At Risk")</f>
        <v>Meets Standard</v>
      </c>
      <c r="M2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73" spans="1:13" x14ac:dyDescent="0.25">
      <c r="A273" t="s">
        <v>9</v>
      </c>
      <c r="B273" t="s">
        <v>5</v>
      </c>
      <c r="C273" t="s">
        <v>6</v>
      </c>
      <c r="D273" t="s">
        <v>3</v>
      </c>
      <c r="E273" t="s">
        <v>4</v>
      </c>
      <c r="F273">
        <v>58</v>
      </c>
      <c r="G273">
        <v>49</v>
      </c>
      <c r="H273">
        <v>42</v>
      </c>
      <c r="I273" s="1">
        <f>AVERAGE(tblStudents[[#This Row],[Math Score]],tblStudents[[#This Row],[Reading Score]],tblStudents[[#This Row],[Writing Score]])</f>
        <v>49.666666666666664</v>
      </c>
      <c r="J273">
        <f>IF(tblStudents[[#This Row],[Average Score]]&gt;=60,1,0)</f>
        <v>0</v>
      </c>
      <c r="K273" t="str">
        <f>IF(tblStudents[[#This Row],[Average Score]]&gt;=60,"Pass","At Risk")</f>
        <v>At Risk</v>
      </c>
      <c r="L273" t="str" cm="1">
        <f t="array" ref="L273">_xlfn.IFS(tblStudents[[#This Row],[Average Score]]&gt;=80,"High",tblStudents[[#This Row],[Average Score]]&gt;=60,"Meets Standard",TRUE,"At Risk")</f>
        <v>At Risk</v>
      </c>
      <c r="M2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274" spans="1:13" x14ac:dyDescent="0.25">
      <c r="A274" t="s">
        <v>0</v>
      </c>
      <c r="B274" t="s">
        <v>13</v>
      </c>
      <c r="C274" t="s">
        <v>11</v>
      </c>
      <c r="D274" t="s">
        <v>12</v>
      </c>
      <c r="E274" t="s">
        <v>4</v>
      </c>
      <c r="F274">
        <v>47</v>
      </c>
      <c r="G274">
        <v>53</v>
      </c>
      <c r="H274">
        <v>58</v>
      </c>
      <c r="I274" s="1">
        <f>AVERAGE(tblStudents[[#This Row],[Math Score]],tblStudents[[#This Row],[Reading Score]],tblStudents[[#This Row],[Writing Score]])</f>
        <v>52.666666666666664</v>
      </c>
      <c r="J274">
        <f>IF(tblStudents[[#This Row],[Average Score]]&gt;=60,1,0)</f>
        <v>0</v>
      </c>
      <c r="K274" t="str">
        <f>IF(tblStudents[[#This Row],[Average Score]]&gt;=60,"Pass","At Risk")</f>
        <v>At Risk</v>
      </c>
      <c r="L274" t="str" cm="1">
        <f t="array" ref="L274">_xlfn.IFS(tblStudents[[#This Row],[Average Score]]&gt;=80,"High",tblStudents[[#This Row],[Average Score]]&gt;=60,"Meets Standard",TRUE,"At Risk")</f>
        <v>At Risk</v>
      </c>
      <c r="M2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75" spans="1:13" x14ac:dyDescent="0.25">
      <c r="A275" t="s">
        <v>0</v>
      </c>
      <c r="B275" t="s">
        <v>13</v>
      </c>
      <c r="C275" t="s">
        <v>6</v>
      </c>
      <c r="D275" t="s">
        <v>3</v>
      </c>
      <c r="E275" t="s">
        <v>4</v>
      </c>
      <c r="F275">
        <v>65</v>
      </c>
      <c r="G275">
        <v>70</v>
      </c>
      <c r="H275">
        <v>71</v>
      </c>
      <c r="I275" s="1">
        <f>AVERAGE(tblStudents[[#This Row],[Math Score]],tblStudents[[#This Row],[Reading Score]],tblStudents[[#This Row],[Writing Score]])</f>
        <v>68.666666666666671</v>
      </c>
      <c r="J275">
        <f>IF(tblStudents[[#This Row],[Average Score]]&gt;=60,1,0)</f>
        <v>1</v>
      </c>
      <c r="K275" t="str">
        <f>IF(tblStudents[[#This Row],[Average Score]]&gt;=60,"Pass","At Risk")</f>
        <v>Pass</v>
      </c>
      <c r="L275" t="str" cm="1">
        <f t="array" ref="L275">_xlfn.IFS(tblStudents[[#This Row],[Average Score]]&gt;=80,"High",tblStudents[[#This Row],[Average Score]]&gt;=60,"Meets Standard",TRUE,"At Risk")</f>
        <v>Meets Standard</v>
      </c>
      <c r="M2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276" spans="1:13" x14ac:dyDescent="0.25">
      <c r="A276" t="s">
        <v>9</v>
      </c>
      <c r="B276" t="s">
        <v>1</v>
      </c>
      <c r="C276" t="s">
        <v>6</v>
      </c>
      <c r="D276" t="s">
        <v>3</v>
      </c>
      <c r="E276" t="s">
        <v>7</v>
      </c>
      <c r="F276">
        <v>88</v>
      </c>
      <c r="G276">
        <v>85</v>
      </c>
      <c r="H276">
        <v>76</v>
      </c>
      <c r="I276" s="1">
        <f>AVERAGE(tblStudents[[#This Row],[Math Score]],tblStudents[[#This Row],[Reading Score]],tblStudents[[#This Row],[Writing Score]])</f>
        <v>83</v>
      </c>
      <c r="J276">
        <f>IF(tblStudents[[#This Row],[Average Score]]&gt;=60,1,0)</f>
        <v>1</v>
      </c>
      <c r="K276" t="str">
        <f>IF(tblStudents[[#This Row],[Average Score]]&gt;=60,"Pass","At Risk")</f>
        <v>Pass</v>
      </c>
      <c r="L276" t="str" cm="1">
        <f t="array" ref="L276">_xlfn.IFS(tblStudents[[#This Row],[Average Score]]&gt;=80,"High",tblStudents[[#This Row],[Average Score]]&gt;=60,"Meets Standard",TRUE,"At Risk")</f>
        <v>High</v>
      </c>
      <c r="M2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277" spans="1:13" x14ac:dyDescent="0.25">
      <c r="A277" t="s">
        <v>9</v>
      </c>
      <c r="B277" t="s">
        <v>5</v>
      </c>
      <c r="C277" t="s">
        <v>2</v>
      </c>
      <c r="D277" t="s">
        <v>3</v>
      </c>
      <c r="E277" t="s">
        <v>4</v>
      </c>
      <c r="F277">
        <v>83</v>
      </c>
      <c r="G277">
        <v>78</v>
      </c>
      <c r="H277">
        <v>73</v>
      </c>
      <c r="I277" s="1">
        <f>AVERAGE(tblStudents[[#This Row],[Math Score]],tblStudents[[#This Row],[Reading Score]],tblStudents[[#This Row],[Writing Score]])</f>
        <v>78</v>
      </c>
      <c r="J277">
        <f>IF(tblStudents[[#This Row],[Average Score]]&gt;=60,1,0)</f>
        <v>1</v>
      </c>
      <c r="K277" t="str">
        <f>IF(tblStudents[[#This Row],[Average Score]]&gt;=60,"Pass","At Risk")</f>
        <v>Pass</v>
      </c>
      <c r="L277" t="str" cm="1">
        <f t="array" ref="L277">_xlfn.IFS(tblStudents[[#This Row],[Average Score]]&gt;=80,"High",tblStudents[[#This Row],[Average Score]]&gt;=60,"Meets Standard",TRUE,"At Risk")</f>
        <v>Meets Standard</v>
      </c>
      <c r="M2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78" spans="1:13" x14ac:dyDescent="0.25">
      <c r="A278" t="s">
        <v>0</v>
      </c>
      <c r="B278" t="s">
        <v>5</v>
      </c>
      <c r="C278" t="s">
        <v>15</v>
      </c>
      <c r="D278" t="s">
        <v>3</v>
      </c>
      <c r="E278" t="s">
        <v>7</v>
      </c>
      <c r="F278">
        <v>85</v>
      </c>
      <c r="G278">
        <v>92</v>
      </c>
      <c r="H278">
        <v>93</v>
      </c>
      <c r="I278" s="1">
        <f>AVERAGE(tblStudents[[#This Row],[Math Score]],tblStudents[[#This Row],[Reading Score]],tblStudents[[#This Row],[Writing Score]])</f>
        <v>90</v>
      </c>
      <c r="J278">
        <f>IF(tblStudents[[#This Row],[Average Score]]&gt;=60,1,0)</f>
        <v>1</v>
      </c>
      <c r="K278" t="str">
        <f>IF(tblStudents[[#This Row],[Average Score]]&gt;=60,"Pass","At Risk")</f>
        <v>Pass</v>
      </c>
      <c r="L278" t="str" cm="1">
        <f t="array" ref="L278">_xlfn.IFS(tblStudents[[#This Row],[Average Score]]&gt;=80,"High",tblStudents[[#This Row],[Average Score]]&gt;=60,"Meets Standard",TRUE,"At Risk")</f>
        <v>High</v>
      </c>
      <c r="M2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79" spans="1:13" x14ac:dyDescent="0.25">
      <c r="A279" t="s">
        <v>0</v>
      </c>
      <c r="B279" t="s">
        <v>16</v>
      </c>
      <c r="C279" t="s">
        <v>14</v>
      </c>
      <c r="D279" t="s">
        <v>3</v>
      </c>
      <c r="E279" t="s">
        <v>7</v>
      </c>
      <c r="F279">
        <v>59</v>
      </c>
      <c r="G279">
        <v>63</v>
      </c>
      <c r="H279">
        <v>75</v>
      </c>
      <c r="I279" s="1">
        <f>AVERAGE(tblStudents[[#This Row],[Math Score]],tblStudents[[#This Row],[Reading Score]],tblStudents[[#This Row],[Writing Score]])</f>
        <v>65.666666666666671</v>
      </c>
      <c r="J279">
        <f>IF(tblStudents[[#This Row],[Average Score]]&gt;=60,1,0)</f>
        <v>1</v>
      </c>
      <c r="K279" t="str">
        <f>IF(tblStudents[[#This Row],[Average Score]]&gt;=60,"Pass","At Risk")</f>
        <v>Pass</v>
      </c>
      <c r="L279" t="str" cm="1">
        <f t="array" ref="L279">_xlfn.IFS(tblStudents[[#This Row],[Average Score]]&gt;=80,"High",tblStudents[[#This Row],[Average Score]]&gt;=60,"Meets Standard",TRUE,"At Risk")</f>
        <v>Meets Standard</v>
      </c>
      <c r="M2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280" spans="1:13" x14ac:dyDescent="0.25">
      <c r="A280" t="s">
        <v>0</v>
      </c>
      <c r="B280" t="s">
        <v>5</v>
      </c>
      <c r="C280" t="s">
        <v>15</v>
      </c>
      <c r="D280" t="s">
        <v>12</v>
      </c>
      <c r="E280" t="s">
        <v>4</v>
      </c>
      <c r="F280">
        <v>65</v>
      </c>
      <c r="G280">
        <v>86</v>
      </c>
      <c r="H280">
        <v>80</v>
      </c>
      <c r="I280" s="1">
        <f>AVERAGE(tblStudents[[#This Row],[Math Score]],tblStudents[[#This Row],[Reading Score]],tblStudents[[#This Row],[Writing Score]])</f>
        <v>77</v>
      </c>
      <c r="J280">
        <f>IF(tblStudents[[#This Row],[Average Score]]&gt;=60,1,0)</f>
        <v>1</v>
      </c>
      <c r="K280" t="str">
        <f>IF(tblStudents[[#This Row],[Average Score]]&gt;=60,"Pass","At Risk")</f>
        <v>Pass</v>
      </c>
      <c r="L280" t="str" cm="1">
        <f t="array" ref="L280">_xlfn.IFS(tblStudents[[#This Row],[Average Score]]&gt;=80,"High",tblStudents[[#This Row],[Average Score]]&gt;=60,"Meets Standard",TRUE,"At Risk")</f>
        <v>Meets Standard</v>
      </c>
      <c r="M2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281" spans="1:13" x14ac:dyDescent="0.25">
      <c r="A281" t="s">
        <v>9</v>
      </c>
      <c r="B281" t="s">
        <v>1</v>
      </c>
      <c r="C281" t="s">
        <v>2</v>
      </c>
      <c r="D281" t="s">
        <v>12</v>
      </c>
      <c r="E281" t="s">
        <v>4</v>
      </c>
      <c r="F281">
        <v>73</v>
      </c>
      <c r="G281">
        <v>56</v>
      </c>
      <c r="H281">
        <v>57</v>
      </c>
      <c r="I281" s="1">
        <f>AVERAGE(tblStudents[[#This Row],[Math Score]],tblStudents[[#This Row],[Reading Score]],tblStudents[[#This Row],[Writing Score]])</f>
        <v>62</v>
      </c>
      <c r="J281">
        <f>IF(tblStudents[[#This Row],[Average Score]]&gt;=60,1,0)</f>
        <v>1</v>
      </c>
      <c r="K281" t="str">
        <f>IF(tblStudents[[#This Row],[Average Score]]&gt;=60,"Pass","At Risk")</f>
        <v>Pass</v>
      </c>
      <c r="L281" t="str" cm="1">
        <f t="array" ref="L281">_xlfn.IFS(tblStudents[[#This Row],[Average Score]]&gt;=80,"High",tblStudents[[#This Row],[Average Score]]&gt;=60,"Meets Standard",TRUE,"At Risk")</f>
        <v>Meets Standard</v>
      </c>
      <c r="M2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282" spans="1:13" x14ac:dyDescent="0.25">
      <c r="A282" t="s">
        <v>9</v>
      </c>
      <c r="B282" t="s">
        <v>13</v>
      </c>
      <c r="C282" t="s">
        <v>14</v>
      </c>
      <c r="D282" t="s">
        <v>3</v>
      </c>
      <c r="E282" t="s">
        <v>4</v>
      </c>
      <c r="F282">
        <v>53</v>
      </c>
      <c r="G282">
        <v>52</v>
      </c>
      <c r="H282">
        <v>42</v>
      </c>
      <c r="I282" s="1">
        <f>AVERAGE(tblStudents[[#This Row],[Math Score]],tblStudents[[#This Row],[Reading Score]],tblStudents[[#This Row],[Writing Score]])</f>
        <v>49</v>
      </c>
      <c r="J282">
        <f>IF(tblStudents[[#This Row],[Average Score]]&gt;=60,1,0)</f>
        <v>0</v>
      </c>
      <c r="K282" t="str">
        <f>IF(tblStudents[[#This Row],[Average Score]]&gt;=60,"Pass","At Risk")</f>
        <v>At Risk</v>
      </c>
      <c r="L282" t="str" cm="1">
        <f t="array" ref="L282">_xlfn.IFS(tblStudents[[#This Row],[Average Score]]&gt;=80,"High",tblStudents[[#This Row],[Average Score]]&gt;=60,"Meets Standard",TRUE,"At Risk")</f>
        <v>At Risk</v>
      </c>
      <c r="M2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83" spans="1:13" x14ac:dyDescent="0.25">
      <c r="A283" t="s">
        <v>9</v>
      </c>
      <c r="B283" t="s">
        <v>13</v>
      </c>
      <c r="C283" t="s">
        <v>14</v>
      </c>
      <c r="D283" t="s">
        <v>3</v>
      </c>
      <c r="E283" t="s">
        <v>4</v>
      </c>
      <c r="F283">
        <v>45</v>
      </c>
      <c r="G283">
        <v>48</v>
      </c>
      <c r="H283">
        <v>46</v>
      </c>
      <c r="I283" s="1">
        <f>AVERAGE(tblStudents[[#This Row],[Math Score]],tblStudents[[#This Row],[Reading Score]],tblStudents[[#This Row],[Writing Score]])</f>
        <v>46.333333333333336</v>
      </c>
      <c r="J283">
        <f>IF(tblStudents[[#This Row],[Average Score]]&gt;=60,1,0)</f>
        <v>0</v>
      </c>
      <c r="K283" t="str">
        <f>IF(tblStudents[[#This Row],[Average Score]]&gt;=60,"Pass","At Risk")</f>
        <v>At Risk</v>
      </c>
      <c r="L283" t="str" cm="1">
        <f t="array" ref="L283">_xlfn.IFS(tblStudents[[#This Row],[Average Score]]&gt;=80,"High",tblStudents[[#This Row],[Average Score]]&gt;=60,"Meets Standard",TRUE,"At Risk")</f>
        <v>At Risk</v>
      </c>
      <c r="M2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284" spans="1:13" x14ac:dyDescent="0.25">
      <c r="A284" t="s">
        <v>0</v>
      </c>
      <c r="B284" t="s">
        <v>13</v>
      </c>
      <c r="C284" t="s">
        <v>2</v>
      </c>
      <c r="D284" t="s">
        <v>12</v>
      </c>
      <c r="E284" t="s">
        <v>4</v>
      </c>
      <c r="F284">
        <v>73</v>
      </c>
      <c r="G284">
        <v>79</v>
      </c>
      <c r="H284">
        <v>84</v>
      </c>
      <c r="I284" s="1">
        <f>AVERAGE(tblStudents[[#This Row],[Math Score]],tblStudents[[#This Row],[Reading Score]],tblStudents[[#This Row],[Writing Score]])</f>
        <v>78.666666666666671</v>
      </c>
      <c r="J284">
        <f>IF(tblStudents[[#This Row],[Average Score]]&gt;=60,1,0)</f>
        <v>1</v>
      </c>
      <c r="K284" t="str">
        <f>IF(tblStudents[[#This Row],[Average Score]]&gt;=60,"Pass","At Risk")</f>
        <v>Pass</v>
      </c>
      <c r="L284" t="str" cm="1">
        <f t="array" ref="L284">_xlfn.IFS(tblStudents[[#This Row],[Average Score]]&gt;=80,"High",tblStudents[[#This Row],[Average Score]]&gt;=60,"Meets Standard",TRUE,"At Risk")</f>
        <v>Meets Standard</v>
      </c>
      <c r="M2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285" spans="1:13" x14ac:dyDescent="0.25">
      <c r="A285" t="s">
        <v>0</v>
      </c>
      <c r="B285" t="s">
        <v>13</v>
      </c>
      <c r="C285" t="s">
        <v>6</v>
      </c>
      <c r="D285" t="s">
        <v>12</v>
      </c>
      <c r="E285" t="s">
        <v>7</v>
      </c>
      <c r="F285">
        <v>70</v>
      </c>
      <c r="G285">
        <v>78</v>
      </c>
      <c r="H285">
        <v>78</v>
      </c>
      <c r="I285" s="1">
        <f>AVERAGE(tblStudents[[#This Row],[Math Score]],tblStudents[[#This Row],[Reading Score]],tblStudents[[#This Row],[Writing Score]])</f>
        <v>75.333333333333329</v>
      </c>
      <c r="J285">
        <f>IF(tblStudents[[#This Row],[Average Score]]&gt;=60,1,0)</f>
        <v>1</v>
      </c>
      <c r="K285" t="str">
        <f>IF(tblStudents[[#This Row],[Average Score]]&gt;=60,"Pass","At Risk")</f>
        <v>Pass</v>
      </c>
      <c r="L285" t="str" cm="1">
        <f t="array" ref="L285">_xlfn.IFS(tblStudents[[#This Row],[Average Score]]&gt;=80,"High",tblStudents[[#This Row],[Average Score]]&gt;=60,"Meets Standard",TRUE,"At Risk")</f>
        <v>Meets Standard</v>
      </c>
      <c r="M2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86" spans="1:13" x14ac:dyDescent="0.25">
      <c r="A286" t="s">
        <v>0</v>
      </c>
      <c r="B286" t="s">
        <v>1</v>
      </c>
      <c r="C286" t="s">
        <v>15</v>
      </c>
      <c r="D286" t="s">
        <v>3</v>
      </c>
      <c r="E286" t="s">
        <v>4</v>
      </c>
      <c r="F286">
        <v>37</v>
      </c>
      <c r="G286">
        <v>46</v>
      </c>
      <c r="H286">
        <v>46</v>
      </c>
      <c r="I286" s="1">
        <f>AVERAGE(tblStudents[[#This Row],[Math Score]],tblStudents[[#This Row],[Reading Score]],tblStudents[[#This Row],[Writing Score]])</f>
        <v>43</v>
      </c>
      <c r="J286">
        <f>IF(tblStudents[[#This Row],[Average Score]]&gt;=60,1,0)</f>
        <v>0</v>
      </c>
      <c r="K286" t="str">
        <f>IF(tblStudents[[#This Row],[Average Score]]&gt;=60,"Pass","At Risk")</f>
        <v>At Risk</v>
      </c>
      <c r="L286" t="str" cm="1">
        <f t="array" ref="L286">_xlfn.IFS(tblStudents[[#This Row],[Average Score]]&gt;=80,"High",tblStudents[[#This Row],[Average Score]]&gt;=60,"Meets Standard",TRUE,"At Risk")</f>
        <v>At Risk</v>
      </c>
      <c r="M2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287" spans="1:13" x14ac:dyDescent="0.25">
      <c r="A287" t="s">
        <v>9</v>
      </c>
      <c r="B287" t="s">
        <v>1</v>
      </c>
      <c r="C287" t="s">
        <v>11</v>
      </c>
      <c r="D287" t="s">
        <v>3</v>
      </c>
      <c r="E287" t="s">
        <v>7</v>
      </c>
      <c r="F287">
        <v>81</v>
      </c>
      <c r="G287">
        <v>82</v>
      </c>
      <c r="H287">
        <v>82</v>
      </c>
      <c r="I287" s="1">
        <f>AVERAGE(tblStudents[[#This Row],[Math Score]],tblStudents[[#This Row],[Reading Score]],tblStudents[[#This Row],[Writing Score]])</f>
        <v>81.666666666666671</v>
      </c>
      <c r="J287">
        <f>IF(tblStudents[[#This Row],[Average Score]]&gt;=60,1,0)</f>
        <v>1</v>
      </c>
      <c r="K287" t="str">
        <f>IF(tblStudents[[#This Row],[Average Score]]&gt;=60,"Pass","At Risk")</f>
        <v>Pass</v>
      </c>
      <c r="L287" t="str" cm="1">
        <f t="array" ref="L287">_xlfn.IFS(tblStudents[[#This Row],[Average Score]]&gt;=80,"High",tblStudents[[#This Row],[Average Score]]&gt;=60,"Meets Standard",TRUE,"At Risk")</f>
        <v>High</v>
      </c>
      <c r="M2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288" spans="1:13" x14ac:dyDescent="0.25">
      <c r="A288" t="s">
        <v>9</v>
      </c>
      <c r="B288" t="s">
        <v>16</v>
      </c>
      <c r="C288" t="s">
        <v>11</v>
      </c>
      <c r="D288" t="s">
        <v>3</v>
      </c>
      <c r="E288" t="s">
        <v>7</v>
      </c>
      <c r="F288">
        <v>97</v>
      </c>
      <c r="G288">
        <v>82</v>
      </c>
      <c r="H288">
        <v>88</v>
      </c>
      <c r="I288" s="1">
        <f>AVERAGE(tblStudents[[#This Row],[Math Score]],tblStudents[[#This Row],[Reading Score]],tblStudents[[#This Row],[Writing Score]])</f>
        <v>89</v>
      </c>
      <c r="J288">
        <f>IF(tblStudents[[#This Row],[Average Score]]&gt;=60,1,0)</f>
        <v>1</v>
      </c>
      <c r="K288" t="str">
        <f>IF(tblStudents[[#This Row],[Average Score]]&gt;=60,"Pass","At Risk")</f>
        <v>Pass</v>
      </c>
      <c r="L288" t="str" cm="1">
        <f t="array" ref="L288">_xlfn.IFS(tblStudents[[#This Row],[Average Score]]&gt;=80,"High",tblStudents[[#This Row],[Average Score]]&gt;=60,"Meets Standard",TRUE,"At Risk")</f>
        <v>High</v>
      </c>
      <c r="M2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289" spans="1:13" x14ac:dyDescent="0.25">
      <c r="A289" t="s">
        <v>0</v>
      </c>
      <c r="B289" t="s">
        <v>1</v>
      </c>
      <c r="C289" t="s">
        <v>15</v>
      </c>
      <c r="D289" t="s">
        <v>3</v>
      </c>
      <c r="E289" t="s">
        <v>4</v>
      </c>
      <c r="F289">
        <v>67</v>
      </c>
      <c r="G289">
        <v>89</v>
      </c>
      <c r="H289">
        <v>82</v>
      </c>
      <c r="I289" s="1">
        <f>AVERAGE(tblStudents[[#This Row],[Math Score]],tblStudents[[#This Row],[Reading Score]],tblStudents[[#This Row],[Writing Score]])</f>
        <v>79.333333333333329</v>
      </c>
      <c r="J289">
        <f>IF(tblStudents[[#This Row],[Average Score]]&gt;=60,1,0)</f>
        <v>1</v>
      </c>
      <c r="K289" t="str">
        <f>IF(tblStudents[[#This Row],[Average Score]]&gt;=60,"Pass","At Risk")</f>
        <v>Pass</v>
      </c>
      <c r="L289" t="str" cm="1">
        <f t="array" ref="L289">_xlfn.IFS(tblStudents[[#This Row],[Average Score]]&gt;=80,"High",tblStudents[[#This Row],[Average Score]]&gt;=60,"Meets Standard",TRUE,"At Risk")</f>
        <v>Meets Standard</v>
      </c>
      <c r="M2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22</v>
      </c>
    </row>
    <row r="290" spans="1:13" x14ac:dyDescent="0.25">
      <c r="A290" t="s">
        <v>9</v>
      </c>
      <c r="B290" t="s">
        <v>1</v>
      </c>
      <c r="C290" t="s">
        <v>2</v>
      </c>
      <c r="D290" t="s">
        <v>12</v>
      </c>
      <c r="E290" t="s">
        <v>4</v>
      </c>
      <c r="F290">
        <v>88</v>
      </c>
      <c r="G290">
        <v>75</v>
      </c>
      <c r="H290">
        <v>76</v>
      </c>
      <c r="I290" s="1">
        <f>AVERAGE(tblStudents[[#This Row],[Math Score]],tblStudents[[#This Row],[Reading Score]],tblStudents[[#This Row],[Writing Score]])</f>
        <v>79.666666666666671</v>
      </c>
      <c r="J290">
        <f>IF(tblStudents[[#This Row],[Average Score]]&gt;=60,1,0)</f>
        <v>1</v>
      </c>
      <c r="K290" t="str">
        <f>IF(tblStudents[[#This Row],[Average Score]]&gt;=60,"Pass","At Risk")</f>
        <v>Pass</v>
      </c>
      <c r="L290" t="str" cm="1">
        <f t="array" ref="L290">_xlfn.IFS(tblStudents[[#This Row],[Average Score]]&gt;=80,"High",tblStudents[[#This Row],[Average Score]]&gt;=60,"Meets Standard",TRUE,"At Risk")</f>
        <v>Meets Standard</v>
      </c>
      <c r="M2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291" spans="1:13" x14ac:dyDescent="0.25">
      <c r="A291" t="s">
        <v>9</v>
      </c>
      <c r="B291" t="s">
        <v>16</v>
      </c>
      <c r="C291" t="s">
        <v>15</v>
      </c>
      <c r="D291" t="s">
        <v>3</v>
      </c>
      <c r="E291" t="s">
        <v>7</v>
      </c>
      <c r="F291">
        <v>77</v>
      </c>
      <c r="G291">
        <v>76</v>
      </c>
      <c r="H291">
        <v>77</v>
      </c>
      <c r="I291" s="1">
        <f>AVERAGE(tblStudents[[#This Row],[Math Score]],tblStudents[[#This Row],[Reading Score]],tblStudents[[#This Row],[Writing Score]])</f>
        <v>76.666666666666671</v>
      </c>
      <c r="J291">
        <f>IF(tblStudents[[#This Row],[Average Score]]&gt;=60,1,0)</f>
        <v>1</v>
      </c>
      <c r="K291" t="str">
        <f>IF(tblStudents[[#This Row],[Average Score]]&gt;=60,"Pass","At Risk")</f>
        <v>Pass</v>
      </c>
      <c r="L291" t="str" cm="1">
        <f t="array" ref="L291">_xlfn.IFS(tblStudents[[#This Row],[Average Score]]&gt;=80,"High",tblStudents[[#This Row],[Average Score]]&gt;=60,"Meets Standard",TRUE,"At Risk")</f>
        <v>Meets Standard</v>
      </c>
      <c r="M2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292" spans="1:13" x14ac:dyDescent="0.25">
      <c r="A292" t="s">
        <v>9</v>
      </c>
      <c r="B292" t="s">
        <v>5</v>
      </c>
      <c r="C292" t="s">
        <v>11</v>
      </c>
      <c r="D292" t="s">
        <v>3</v>
      </c>
      <c r="E292" t="s">
        <v>4</v>
      </c>
      <c r="F292">
        <v>76</v>
      </c>
      <c r="G292">
        <v>70</v>
      </c>
      <c r="H292">
        <v>68</v>
      </c>
      <c r="I292" s="1">
        <f>AVERAGE(tblStudents[[#This Row],[Math Score]],tblStudents[[#This Row],[Reading Score]],tblStudents[[#This Row],[Writing Score]])</f>
        <v>71.333333333333329</v>
      </c>
      <c r="J292">
        <f>IF(tblStudents[[#This Row],[Average Score]]&gt;=60,1,0)</f>
        <v>1</v>
      </c>
      <c r="K292" t="str">
        <f>IF(tblStudents[[#This Row],[Average Score]]&gt;=60,"Pass","At Risk")</f>
        <v>Pass</v>
      </c>
      <c r="L292" t="str" cm="1">
        <f t="array" ref="L292">_xlfn.IFS(tblStudents[[#This Row],[Average Score]]&gt;=80,"High",tblStudents[[#This Row],[Average Score]]&gt;=60,"Meets Standard",TRUE,"At Risk")</f>
        <v>Meets Standard</v>
      </c>
      <c r="M2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293" spans="1:13" x14ac:dyDescent="0.25">
      <c r="A293" t="s">
        <v>9</v>
      </c>
      <c r="B293" t="s">
        <v>13</v>
      </c>
      <c r="C293" t="s">
        <v>15</v>
      </c>
      <c r="D293" t="s">
        <v>3</v>
      </c>
      <c r="E293" t="s">
        <v>4</v>
      </c>
      <c r="F293">
        <v>86</v>
      </c>
      <c r="G293">
        <v>73</v>
      </c>
      <c r="H293">
        <v>70</v>
      </c>
      <c r="I293" s="1">
        <f>AVERAGE(tblStudents[[#This Row],[Math Score]],tblStudents[[#This Row],[Reading Score]],tblStudents[[#This Row],[Writing Score]])</f>
        <v>76.333333333333329</v>
      </c>
      <c r="J293">
        <f>IF(tblStudents[[#This Row],[Average Score]]&gt;=60,1,0)</f>
        <v>1</v>
      </c>
      <c r="K293" t="str">
        <f>IF(tblStudents[[#This Row],[Average Score]]&gt;=60,"Pass","At Risk")</f>
        <v>Pass</v>
      </c>
      <c r="L293" t="str" cm="1">
        <f t="array" ref="L293">_xlfn.IFS(tblStudents[[#This Row],[Average Score]]&gt;=80,"High",tblStudents[[#This Row],[Average Score]]&gt;=60,"Meets Standard",TRUE,"At Risk")</f>
        <v>Meets Standard</v>
      </c>
      <c r="M2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294" spans="1:13" x14ac:dyDescent="0.25">
      <c r="A294" t="s">
        <v>9</v>
      </c>
      <c r="B294" t="s">
        <v>5</v>
      </c>
      <c r="C294" t="s">
        <v>15</v>
      </c>
      <c r="D294" t="s">
        <v>3</v>
      </c>
      <c r="E294" t="s">
        <v>7</v>
      </c>
      <c r="F294">
        <v>63</v>
      </c>
      <c r="G294">
        <v>60</v>
      </c>
      <c r="H294">
        <v>57</v>
      </c>
      <c r="I294" s="1">
        <f>AVERAGE(tblStudents[[#This Row],[Math Score]],tblStudents[[#This Row],[Reading Score]],tblStudents[[#This Row],[Writing Score]])</f>
        <v>60</v>
      </c>
      <c r="J294">
        <f>IF(tblStudents[[#This Row],[Average Score]]&gt;=60,1,0)</f>
        <v>1</v>
      </c>
      <c r="K294" t="str">
        <f>IF(tblStudents[[#This Row],[Average Score]]&gt;=60,"Pass","At Risk")</f>
        <v>Pass</v>
      </c>
      <c r="L294" t="str" cm="1">
        <f t="array" ref="L294">_xlfn.IFS(tblStudents[[#This Row],[Average Score]]&gt;=80,"High",tblStudents[[#This Row],[Average Score]]&gt;=60,"Meets Standard",TRUE,"At Risk")</f>
        <v>Meets Standard</v>
      </c>
      <c r="M2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295" spans="1:13" x14ac:dyDescent="0.25">
      <c r="A295" t="s">
        <v>0</v>
      </c>
      <c r="B295" t="s">
        <v>16</v>
      </c>
      <c r="C295" t="s">
        <v>2</v>
      </c>
      <c r="D295" t="s">
        <v>3</v>
      </c>
      <c r="E295" t="s">
        <v>4</v>
      </c>
      <c r="F295">
        <v>65</v>
      </c>
      <c r="G295">
        <v>73</v>
      </c>
      <c r="H295">
        <v>75</v>
      </c>
      <c r="I295" s="1">
        <f>AVERAGE(tblStudents[[#This Row],[Math Score]],tblStudents[[#This Row],[Reading Score]],tblStudents[[#This Row],[Writing Score]])</f>
        <v>71</v>
      </c>
      <c r="J295">
        <f>IF(tblStudents[[#This Row],[Average Score]]&gt;=60,1,0)</f>
        <v>1</v>
      </c>
      <c r="K295" t="str">
        <f>IF(tblStudents[[#This Row],[Average Score]]&gt;=60,"Pass","At Risk")</f>
        <v>Pass</v>
      </c>
      <c r="L295" t="str" cm="1">
        <f t="array" ref="L295">_xlfn.IFS(tblStudents[[#This Row],[Average Score]]&gt;=80,"High",tblStudents[[#This Row],[Average Score]]&gt;=60,"Meets Standard",TRUE,"At Risk")</f>
        <v>Meets Standard</v>
      </c>
      <c r="M2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296" spans="1:13" x14ac:dyDescent="0.25">
      <c r="A296" t="s">
        <v>9</v>
      </c>
      <c r="B296" t="s">
        <v>13</v>
      </c>
      <c r="C296" t="s">
        <v>14</v>
      </c>
      <c r="D296" t="s">
        <v>12</v>
      </c>
      <c r="E296" t="s">
        <v>7</v>
      </c>
      <c r="F296">
        <v>78</v>
      </c>
      <c r="G296">
        <v>77</v>
      </c>
      <c r="H296">
        <v>80</v>
      </c>
      <c r="I296" s="1">
        <f>AVERAGE(tblStudents[[#This Row],[Math Score]],tblStudents[[#This Row],[Reading Score]],tblStudents[[#This Row],[Writing Score]])</f>
        <v>78.333333333333329</v>
      </c>
      <c r="J296">
        <f>IF(tblStudents[[#This Row],[Average Score]]&gt;=60,1,0)</f>
        <v>1</v>
      </c>
      <c r="K296" t="str">
        <f>IF(tblStudents[[#This Row],[Average Score]]&gt;=60,"Pass","At Risk")</f>
        <v>Pass</v>
      </c>
      <c r="L296" t="str" cm="1">
        <f t="array" ref="L296">_xlfn.IFS(tblStudents[[#This Row],[Average Score]]&gt;=80,"High",tblStudents[[#This Row],[Average Score]]&gt;=60,"Meets Standard",TRUE,"At Risk")</f>
        <v>Meets Standard</v>
      </c>
      <c r="M2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297" spans="1:13" x14ac:dyDescent="0.25">
      <c r="A297" t="s">
        <v>9</v>
      </c>
      <c r="B297" t="s">
        <v>1</v>
      </c>
      <c r="C297" t="s">
        <v>11</v>
      </c>
      <c r="D297" t="s">
        <v>12</v>
      </c>
      <c r="E297" t="s">
        <v>4</v>
      </c>
      <c r="F297">
        <v>67</v>
      </c>
      <c r="G297">
        <v>62</v>
      </c>
      <c r="H297">
        <v>60</v>
      </c>
      <c r="I297" s="1">
        <f>AVERAGE(tblStudents[[#This Row],[Math Score]],tblStudents[[#This Row],[Reading Score]],tblStudents[[#This Row],[Writing Score]])</f>
        <v>63</v>
      </c>
      <c r="J297">
        <f>IF(tblStudents[[#This Row],[Average Score]]&gt;=60,1,0)</f>
        <v>1</v>
      </c>
      <c r="K297" t="str">
        <f>IF(tblStudents[[#This Row],[Average Score]]&gt;=60,"Pass","At Risk")</f>
        <v>Pass</v>
      </c>
      <c r="L297" t="str" cm="1">
        <f t="array" ref="L297">_xlfn.IFS(tblStudents[[#This Row],[Average Score]]&gt;=80,"High",tblStudents[[#This Row],[Average Score]]&gt;=60,"Meets Standard",TRUE,"At Risk")</f>
        <v>Meets Standard</v>
      </c>
      <c r="M2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298" spans="1:13" x14ac:dyDescent="0.25">
      <c r="A298" t="s">
        <v>9</v>
      </c>
      <c r="B298" t="s">
        <v>10</v>
      </c>
      <c r="C298" t="s">
        <v>15</v>
      </c>
      <c r="D298" t="s">
        <v>3</v>
      </c>
      <c r="E298" t="s">
        <v>7</v>
      </c>
      <c r="F298">
        <v>46</v>
      </c>
      <c r="G298">
        <v>41</v>
      </c>
      <c r="H298">
        <v>43</v>
      </c>
      <c r="I298" s="1">
        <f>AVERAGE(tblStudents[[#This Row],[Math Score]],tblStudents[[#This Row],[Reading Score]],tblStudents[[#This Row],[Writing Score]])</f>
        <v>43.333333333333336</v>
      </c>
      <c r="J298">
        <f>IF(tblStudents[[#This Row],[Average Score]]&gt;=60,1,0)</f>
        <v>0</v>
      </c>
      <c r="K298" t="str">
        <f>IF(tblStudents[[#This Row],[Average Score]]&gt;=60,"Pass","At Risk")</f>
        <v>At Risk</v>
      </c>
      <c r="L298" t="str" cm="1">
        <f t="array" ref="L298">_xlfn.IFS(tblStudents[[#This Row],[Average Score]]&gt;=80,"High",tblStudents[[#This Row],[Average Score]]&gt;=60,"Meets Standard",TRUE,"At Risk")</f>
        <v>At Risk</v>
      </c>
      <c r="M2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299" spans="1:13" x14ac:dyDescent="0.25">
      <c r="A299" t="s">
        <v>9</v>
      </c>
      <c r="B299" t="s">
        <v>16</v>
      </c>
      <c r="C299" t="s">
        <v>11</v>
      </c>
      <c r="D299" t="s">
        <v>3</v>
      </c>
      <c r="E299" t="s">
        <v>7</v>
      </c>
      <c r="F299">
        <v>71</v>
      </c>
      <c r="G299">
        <v>74</v>
      </c>
      <c r="H299">
        <v>68</v>
      </c>
      <c r="I299" s="1">
        <f>AVERAGE(tblStudents[[#This Row],[Math Score]],tblStudents[[#This Row],[Reading Score]],tblStudents[[#This Row],[Writing Score]])</f>
        <v>71</v>
      </c>
      <c r="J299">
        <f>IF(tblStudents[[#This Row],[Average Score]]&gt;=60,1,0)</f>
        <v>1</v>
      </c>
      <c r="K299" t="str">
        <f>IF(tblStudents[[#This Row],[Average Score]]&gt;=60,"Pass","At Risk")</f>
        <v>Pass</v>
      </c>
      <c r="L299" t="str" cm="1">
        <f t="array" ref="L299">_xlfn.IFS(tblStudents[[#This Row],[Average Score]]&gt;=80,"High",tblStudents[[#This Row],[Average Score]]&gt;=60,"Meets Standard",TRUE,"At Risk")</f>
        <v>Meets Standard</v>
      </c>
      <c r="M2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300" spans="1:13" x14ac:dyDescent="0.25">
      <c r="A300" t="s">
        <v>9</v>
      </c>
      <c r="B300" t="s">
        <v>5</v>
      </c>
      <c r="C300" t="s">
        <v>14</v>
      </c>
      <c r="D300" t="s">
        <v>12</v>
      </c>
      <c r="E300" t="s">
        <v>7</v>
      </c>
      <c r="F300">
        <v>40</v>
      </c>
      <c r="G300">
        <v>46</v>
      </c>
      <c r="H300">
        <v>50</v>
      </c>
      <c r="I300" s="1">
        <f>AVERAGE(tblStudents[[#This Row],[Math Score]],tblStudents[[#This Row],[Reading Score]],tblStudents[[#This Row],[Writing Score]])</f>
        <v>45.333333333333336</v>
      </c>
      <c r="J300">
        <f>IF(tblStudents[[#This Row],[Average Score]]&gt;=60,1,0)</f>
        <v>0</v>
      </c>
      <c r="K300" t="str">
        <f>IF(tblStudents[[#This Row],[Average Score]]&gt;=60,"Pass","At Risk")</f>
        <v>At Risk</v>
      </c>
      <c r="L300" t="str" cm="1">
        <f t="array" ref="L300">_xlfn.IFS(tblStudents[[#This Row],[Average Score]]&gt;=80,"High",tblStudents[[#This Row],[Average Score]]&gt;=60,"Meets Standard",TRUE,"At Risk")</f>
        <v>At Risk</v>
      </c>
      <c r="M3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301" spans="1:13" x14ac:dyDescent="0.25">
      <c r="A301" t="s">
        <v>9</v>
      </c>
      <c r="B301" t="s">
        <v>13</v>
      </c>
      <c r="C301" t="s">
        <v>11</v>
      </c>
      <c r="D301" t="s">
        <v>12</v>
      </c>
      <c r="E301" t="s">
        <v>4</v>
      </c>
      <c r="F301">
        <v>90</v>
      </c>
      <c r="G301">
        <v>87</v>
      </c>
      <c r="H301">
        <v>75</v>
      </c>
      <c r="I301" s="1">
        <f>AVERAGE(tblStudents[[#This Row],[Math Score]],tblStudents[[#This Row],[Reading Score]],tblStudents[[#This Row],[Writing Score]])</f>
        <v>84</v>
      </c>
      <c r="J301">
        <f>IF(tblStudents[[#This Row],[Average Score]]&gt;=60,1,0)</f>
        <v>1</v>
      </c>
      <c r="K301" t="str">
        <f>IF(tblStudents[[#This Row],[Average Score]]&gt;=60,"Pass","At Risk")</f>
        <v>Pass</v>
      </c>
      <c r="L301" t="str" cm="1">
        <f t="array" ref="L301">_xlfn.IFS(tblStudents[[#This Row],[Average Score]]&gt;=80,"High",tblStudents[[#This Row],[Average Score]]&gt;=60,"Meets Standard",TRUE,"At Risk")</f>
        <v>High</v>
      </c>
      <c r="M3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302" spans="1:13" x14ac:dyDescent="0.25">
      <c r="A302" t="s">
        <v>9</v>
      </c>
      <c r="B302" t="s">
        <v>10</v>
      </c>
      <c r="C302" t="s">
        <v>6</v>
      </c>
      <c r="D302" t="s">
        <v>12</v>
      </c>
      <c r="E302" t="s">
        <v>7</v>
      </c>
      <c r="F302">
        <v>81</v>
      </c>
      <c r="G302">
        <v>78</v>
      </c>
      <c r="H302">
        <v>81</v>
      </c>
      <c r="I302" s="1">
        <f>AVERAGE(tblStudents[[#This Row],[Math Score]],tblStudents[[#This Row],[Reading Score]],tblStudents[[#This Row],[Writing Score]])</f>
        <v>80</v>
      </c>
      <c r="J302">
        <f>IF(tblStudents[[#This Row],[Average Score]]&gt;=60,1,0)</f>
        <v>1</v>
      </c>
      <c r="K302" t="str">
        <f>IF(tblStudents[[#This Row],[Average Score]]&gt;=60,"Pass","At Risk")</f>
        <v>Pass</v>
      </c>
      <c r="L302" t="str" cm="1">
        <f t="array" ref="L302">_xlfn.IFS(tblStudents[[#This Row],[Average Score]]&gt;=80,"High",tblStudents[[#This Row],[Average Score]]&gt;=60,"Meets Standard",TRUE,"At Risk")</f>
        <v>High</v>
      </c>
      <c r="M3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303" spans="1:13" x14ac:dyDescent="0.25">
      <c r="A303" t="s">
        <v>9</v>
      </c>
      <c r="B303" t="s">
        <v>13</v>
      </c>
      <c r="C303" t="s">
        <v>15</v>
      </c>
      <c r="D303" t="s">
        <v>12</v>
      </c>
      <c r="E303" t="s">
        <v>4</v>
      </c>
      <c r="F303">
        <v>56</v>
      </c>
      <c r="G303">
        <v>54</v>
      </c>
      <c r="H303">
        <v>52</v>
      </c>
      <c r="I303" s="1">
        <f>AVERAGE(tblStudents[[#This Row],[Math Score]],tblStudents[[#This Row],[Reading Score]],tblStudents[[#This Row],[Writing Score]])</f>
        <v>54</v>
      </c>
      <c r="J303">
        <f>IF(tblStudents[[#This Row],[Average Score]]&gt;=60,1,0)</f>
        <v>0</v>
      </c>
      <c r="K303" t="str">
        <f>IF(tblStudents[[#This Row],[Average Score]]&gt;=60,"Pass","At Risk")</f>
        <v>At Risk</v>
      </c>
      <c r="L303" t="str" cm="1">
        <f t="array" ref="L303">_xlfn.IFS(tblStudents[[#This Row],[Average Score]]&gt;=80,"High",tblStudents[[#This Row],[Average Score]]&gt;=60,"Meets Standard",TRUE,"At Risk")</f>
        <v>At Risk</v>
      </c>
      <c r="M3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304" spans="1:13" x14ac:dyDescent="0.25">
      <c r="A304" t="s">
        <v>0</v>
      </c>
      <c r="B304" t="s">
        <v>5</v>
      </c>
      <c r="C304" t="s">
        <v>11</v>
      </c>
      <c r="D304" t="s">
        <v>3</v>
      </c>
      <c r="E304" t="s">
        <v>7</v>
      </c>
      <c r="F304">
        <v>67</v>
      </c>
      <c r="G304">
        <v>84</v>
      </c>
      <c r="H304">
        <v>81</v>
      </c>
      <c r="I304" s="1">
        <f>AVERAGE(tblStudents[[#This Row],[Math Score]],tblStudents[[#This Row],[Reading Score]],tblStudents[[#This Row],[Writing Score]])</f>
        <v>77.333333333333329</v>
      </c>
      <c r="J304">
        <f>IF(tblStudents[[#This Row],[Average Score]]&gt;=60,1,0)</f>
        <v>1</v>
      </c>
      <c r="K304" t="str">
        <f>IF(tblStudents[[#This Row],[Average Score]]&gt;=60,"Pass","At Risk")</f>
        <v>Pass</v>
      </c>
      <c r="L304" t="str" cm="1">
        <f t="array" ref="L304">_xlfn.IFS(tblStudents[[#This Row],[Average Score]]&gt;=80,"High",tblStudents[[#This Row],[Average Score]]&gt;=60,"Meets Standard",TRUE,"At Risk")</f>
        <v>Meets Standard</v>
      </c>
      <c r="M3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305" spans="1:13" x14ac:dyDescent="0.25">
      <c r="A305" t="s">
        <v>9</v>
      </c>
      <c r="B305" t="s">
        <v>1</v>
      </c>
      <c r="C305" t="s">
        <v>11</v>
      </c>
      <c r="D305" t="s">
        <v>3</v>
      </c>
      <c r="E305" t="s">
        <v>4</v>
      </c>
      <c r="F305">
        <v>80</v>
      </c>
      <c r="G305">
        <v>76</v>
      </c>
      <c r="H305">
        <v>64</v>
      </c>
      <c r="I305" s="1">
        <f>AVERAGE(tblStudents[[#This Row],[Math Score]],tblStudents[[#This Row],[Reading Score]],tblStudents[[#This Row],[Writing Score]])</f>
        <v>73.333333333333329</v>
      </c>
      <c r="J305">
        <f>IF(tblStudents[[#This Row],[Average Score]]&gt;=60,1,0)</f>
        <v>1</v>
      </c>
      <c r="K305" t="str">
        <f>IF(tblStudents[[#This Row],[Average Score]]&gt;=60,"Pass","At Risk")</f>
        <v>Pass</v>
      </c>
      <c r="L305" t="str" cm="1">
        <f t="array" ref="L305">_xlfn.IFS(tblStudents[[#This Row],[Average Score]]&gt;=80,"High",tblStudents[[#This Row],[Average Score]]&gt;=60,"Meets Standard",TRUE,"At Risk")</f>
        <v>Meets Standard</v>
      </c>
      <c r="M3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306" spans="1:13" x14ac:dyDescent="0.25">
      <c r="A306" t="s">
        <v>0</v>
      </c>
      <c r="B306" t="s">
        <v>5</v>
      </c>
      <c r="C306" t="s">
        <v>11</v>
      </c>
      <c r="D306" t="s">
        <v>3</v>
      </c>
      <c r="E306" t="s">
        <v>7</v>
      </c>
      <c r="F306">
        <v>74</v>
      </c>
      <c r="G306">
        <v>75</v>
      </c>
      <c r="H306">
        <v>83</v>
      </c>
      <c r="I306" s="1">
        <f>AVERAGE(tblStudents[[#This Row],[Math Score]],tblStudents[[#This Row],[Reading Score]],tblStudents[[#This Row],[Writing Score]])</f>
        <v>77.333333333333329</v>
      </c>
      <c r="J306">
        <f>IF(tblStudents[[#This Row],[Average Score]]&gt;=60,1,0)</f>
        <v>1</v>
      </c>
      <c r="K306" t="str">
        <f>IF(tblStudents[[#This Row],[Average Score]]&gt;=60,"Pass","At Risk")</f>
        <v>Pass</v>
      </c>
      <c r="L306" t="str" cm="1">
        <f t="array" ref="L306">_xlfn.IFS(tblStudents[[#This Row],[Average Score]]&gt;=80,"High",tblStudents[[#This Row],[Average Score]]&gt;=60,"Meets Standard",TRUE,"At Risk")</f>
        <v>Meets Standard</v>
      </c>
      <c r="M3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07" spans="1:13" x14ac:dyDescent="0.25">
      <c r="A307" t="s">
        <v>9</v>
      </c>
      <c r="B307" t="s">
        <v>10</v>
      </c>
      <c r="C307" t="s">
        <v>6</v>
      </c>
      <c r="D307" t="s">
        <v>3</v>
      </c>
      <c r="E307" t="s">
        <v>4</v>
      </c>
      <c r="F307">
        <v>69</v>
      </c>
      <c r="G307">
        <v>67</v>
      </c>
      <c r="H307">
        <v>69</v>
      </c>
      <c r="I307" s="1">
        <f>AVERAGE(tblStudents[[#This Row],[Math Score]],tblStudents[[#This Row],[Reading Score]],tblStudents[[#This Row],[Writing Score]])</f>
        <v>68.333333333333329</v>
      </c>
      <c r="J307">
        <f>IF(tblStudents[[#This Row],[Average Score]]&gt;=60,1,0)</f>
        <v>1</v>
      </c>
      <c r="K307" t="str">
        <f>IF(tblStudents[[#This Row],[Average Score]]&gt;=60,"Pass","At Risk")</f>
        <v>Pass</v>
      </c>
      <c r="L307" t="str" cm="1">
        <f t="array" ref="L307">_xlfn.IFS(tblStudents[[#This Row],[Average Score]]&gt;=80,"High",tblStudents[[#This Row],[Average Score]]&gt;=60,"Meets Standard",TRUE,"At Risk")</f>
        <v>Meets Standard</v>
      </c>
      <c r="M3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08" spans="1:13" x14ac:dyDescent="0.25">
      <c r="A308" t="s">
        <v>9</v>
      </c>
      <c r="B308" t="s">
        <v>16</v>
      </c>
      <c r="C308" t="s">
        <v>6</v>
      </c>
      <c r="D308" t="s">
        <v>3</v>
      </c>
      <c r="E308" t="s">
        <v>7</v>
      </c>
      <c r="F308">
        <v>99</v>
      </c>
      <c r="G308">
        <v>87</v>
      </c>
      <c r="H308">
        <v>81</v>
      </c>
      <c r="I308" s="1">
        <f>AVERAGE(tblStudents[[#This Row],[Math Score]],tblStudents[[#This Row],[Reading Score]],tblStudents[[#This Row],[Writing Score]])</f>
        <v>89</v>
      </c>
      <c r="J308">
        <f>IF(tblStudents[[#This Row],[Average Score]]&gt;=60,1,0)</f>
        <v>1</v>
      </c>
      <c r="K308" t="str">
        <f>IF(tblStudents[[#This Row],[Average Score]]&gt;=60,"Pass","At Risk")</f>
        <v>Pass</v>
      </c>
      <c r="L308" t="str" cm="1">
        <f t="array" ref="L308">_xlfn.IFS(tblStudents[[#This Row],[Average Score]]&gt;=80,"High",tblStudents[[#This Row],[Average Score]]&gt;=60,"Meets Standard",TRUE,"At Risk")</f>
        <v>High</v>
      </c>
      <c r="M3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309" spans="1:13" x14ac:dyDescent="0.25">
      <c r="A309" t="s">
        <v>9</v>
      </c>
      <c r="B309" t="s">
        <v>5</v>
      </c>
      <c r="C309" t="s">
        <v>15</v>
      </c>
      <c r="D309" t="s">
        <v>3</v>
      </c>
      <c r="E309" t="s">
        <v>4</v>
      </c>
      <c r="F309">
        <v>51</v>
      </c>
      <c r="G309">
        <v>52</v>
      </c>
      <c r="H309">
        <v>44</v>
      </c>
      <c r="I309" s="1">
        <f>AVERAGE(tblStudents[[#This Row],[Math Score]],tblStudents[[#This Row],[Reading Score]],tblStudents[[#This Row],[Writing Score]])</f>
        <v>49</v>
      </c>
      <c r="J309">
        <f>IF(tblStudents[[#This Row],[Average Score]]&gt;=60,1,0)</f>
        <v>0</v>
      </c>
      <c r="K309" t="str">
        <f>IF(tblStudents[[#This Row],[Average Score]]&gt;=60,"Pass","At Risk")</f>
        <v>At Risk</v>
      </c>
      <c r="L309" t="str" cm="1">
        <f t="array" ref="L309">_xlfn.IFS(tblStudents[[#This Row],[Average Score]]&gt;=80,"High",tblStudents[[#This Row],[Average Score]]&gt;=60,"Meets Standard",TRUE,"At Risk")</f>
        <v>At Risk</v>
      </c>
      <c r="M3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310" spans="1:13" x14ac:dyDescent="0.25">
      <c r="A310" t="s">
        <v>0</v>
      </c>
      <c r="B310" t="s">
        <v>1</v>
      </c>
      <c r="C310" t="s">
        <v>11</v>
      </c>
      <c r="D310" t="s">
        <v>12</v>
      </c>
      <c r="E310" t="s">
        <v>4</v>
      </c>
      <c r="F310">
        <v>53</v>
      </c>
      <c r="G310">
        <v>71</v>
      </c>
      <c r="H310">
        <v>67</v>
      </c>
      <c r="I310" s="1">
        <f>AVERAGE(tblStudents[[#This Row],[Math Score]],tblStudents[[#This Row],[Reading Score]],tblStudents[[#This Row],[Writing Score]])</f>
        <v>63.666666666666664</v>
      </c>
      <c r="J310">
        <f>IF(tblStudents[[#This Row],[Average Score]]&gt;=60,1,0)</f>
        <v>1</v>
      </c>
      <c r="K310" t="str">
        <f>IF(tblStudents[[#This Row],[Average Score]]&gt;=60,"Pass","At Risk")</f>
        <v>Pass</v>
      </c>
      <c r="L310" t="str" cm="1">
        <f t="array" ref="L310">_xlfn.IFS(tblStudents[[#This Row],[Average Score]]&gt;=80,"High",tblStudents[[#This Row],[Average Score]]&gt;=60,"Meets Standard",TRUE,"At Risk")</f>
        <v>Meets Standard</v>
      </c>
      <c r="M3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311" spans="1:13" x14ac:dyDescent="0.25">
      <c r="A311" t="s">
        <v>0</v>
      </c>
      <c r="B311" t="s">
        <v>13</v>
      </c>
      <c r="C311" t="s">
        <v>14</v>
      </c>
      <c r="D311" t="s">
        <v>12</v>
      </c>
      <c r="E311" t="s">
        <v>4</v>
      </c>
      <c r="F311">
        <v>49</v>
      </c>
      <c r="G311">
        <v>57</v>
      </c>
      <c r="H311">
        <v>52</v>
      </c>
      <c r="I311" s="1">
        <f>AVERAGE(tblStudents[[#This Row],[Math Score]],tblStudents[[#This Row],[Reading Score]],tblStudents[[#This Row],[Writing Score]])</f>
        <v>52.666666666666664</v>
      </c>
      <c r="J311">
        <f>IF(tblStudents[[#This Row],[Average Score]]&gt;=60,1,0)</f>
        <v>0</v>
      </c>
      <c r="K311" t="str">
        <f>IF(tblStudents[[#This Row],[Average Score]]&gt;=60,"Pass","At Risk")</f>
        <v>At Risk</v>
      </c>
      <c r="L311" t="str" cm="1">
        <f t="array" ref="L311">_xlfn.IFS(tblStudents[[#This Row],[Average Score]]&gt;=80,"High",tblStudents[[#This Row],[Average Score]]&gt;=60,"Meets Standard",TRUE,"At Risk")</f>
        <v>At Risk</v>
      </c>
      <c r="M3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312" spans="1:13" x14ac:dyDescent="0.25">
      <c r="A312" t="s">
        <v>0</v>
      </c>
      <c r="B312" t="s">
        <v>1</v>
      </c>
      <c r="C312" t="s">
        <v>11</v>
      </c>
      <c r="D312" t="s">
        <v>3</v>
      </c>
      <c r="E312" t="s">
        <v>4</v>
      </c>
      <c r="F312">
        <v>73</v>
      </c>
      <c r="G312">
        <v>76</v>
      </c>
      <c r="H312">
        <v>80</v>
      </c>
      <c r="I312" s="1">
        <f>AVERAGE(tblStudents[[#This Row],[Math Score]],tblStudents[[#This Row],[Reading Score]],tblStudents[[#This Row],[Writing Score]])</f>
        <v>76.333333333333329</v>
      </c>
      <c r="J312">
        <f>IF(tblStudents[[#This Row],[Average Score]]&gt;=60,1,0)</f>
        <v>1</v>
      </c>
      <c r="K312" t="str">
        <f>IF(tblStudents[[#This Row],[Average Score]]&gt;=60,"Pass","At Risk")</f>
        <v>Pass</v>
      </c>
      <c r="L312" t="str" cm="1">
        <f t="array" ref="L312">_xlfn.IFS(tblStudents[[#This Row],[Average Score]]&gt;=80,"High",tblStudents[[#This Row],[Average Score]]&gt;=60,"Meets Standard",TRUE,"At Risk")</f>
        <v>Meets Standard</v>
      </c>
      <c r="M3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13" spans="1:13" x14ac:dyDescent="0.25">
      <c r="A313" t="s">
        <v>9</v>
      </c>
      <c r="B313" t="s">
        <v>1</v>
      </c>
      <c r="C313" t="s">
        <v>2</v>
      </c>
      <c r="D313" t="s">
        <v>3</v>
      </c>
      <c r="E313" t="s">
        <v>4</v>
      </c>
      <c r="F313">
        <v>66</v>
      </c>
      <c r="G313">
        <v>60</v>
      </c>
      <c r="H313">
        <v>57</v>
      </c>
      <c r="I313" s="1">
        <f>AVERAGE(tblStudents[[#This Row],[Math Score]],tblStudents[[#This Row],[Reading Score]],tblStudents[[#This Row],[Writing Score]])</f>
        <v>61</v>
      </c>
      <c r="J313">
        <f>IF(tblStudents[[#This Row],[Average Score]]&gt;=60,1,0)</f>
        <v>1</v>
      </c>
      <c r="K313" t="str">
        <f>IF(tblStudents[[#This Row],[Average Score]]&gt;=60,"Pass","At Risk")</f>
        <v>Pass</v>
      </c>
      <c r="L313" t="str" cm="1">
        <f t="array" ref="L313">_xlfn.IFS(tblStudents[[#This Row],[Average Score]]&gt;=80,"High",tblStudents[[#This Row],[Average Score]]&gt;=60,"Meets Standard",TRUE,"At Risk")</f>
        <v>Meets Standard</v>
      </c>
      <c r="M3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14" spans="1:13" x14ac:dyDescent="0.25">
      <c r="A314" t="s">
        <v>9</v>
      </c>
      <c r="B314" t="s">
        <v>13</v>
      </c>
      <c r="C314" t="s">
        <v>2</v>
      </c>
      <c r="D314" t="s">
        <v>3</v>
      </c>
      <c r="E314" t="s">
        <v>7</v>
      </c>
      <c r="F314">
        <v>67</v>
      </c>
      <c r="G314">
        <v>61</v>
      </c>
      <c r="H314">
        <v>68</v>
      </c>
      <c r="I314" s="1">
        <f>AVERAGE(tblStudents[[#This Row],[Math Score]],tblStudents[[#This Row],[Reading Score]],tblStudents[[#This Row],[Writing Score]])</f>
        <v>65.333333333333329</v>
      </c>
      <c r="J314">
        <f>IF(tblStudents[[#This Row],[Average Score]]&gt;=60,1,0)</f>
        <v>1</v>
      </c>
      <c r="K314" t="str">
        <f>IF(tblStudents[[#This Row],[Average Score]]&gt;=60,"Pass","At Risk")</f>
        <v>Pass</v>
      </c>
      <c r="L314" t="str" cm="1">
        <f t="array" ref="L314">_xlfn.IFS(tblStudents[[#This Row],[Average Score]]&gt;=80,"High",tblStudents[[#This Row],[Average Score]]&gt;=60,"Meets Standard",TRUE,"At Risk")</f>
        <v>Meets Standard</v>
      </c>
      <c r="M3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15" spans="1:13" x14ac:dyDescent="0.25">
      <c r="A315" t="s">
        <v>0</v>
      </c>
      <c r="B315" t="s">
        <v>5</v>
      </c>
      <c r="C315" t="s">
        <v>11</v>
      </c>
      <c r="D315" t="s">
        <v>12</v>
      </c>
      <c r="E315" t="s">
        <v>7</v>
      </c>
      <c r="F315">
        <v>68</v>
      </c>
      <c r="G315">
        <v>67</v>
      </c>
      <c r="H315">
        <v>69</v>
      </c>
      <c r="I315" s="1">
        <f>AVERAGE(tblStudents[[#This Row],[Math Score]],tblStudents[[#This Row],[Reading Score]],tblStudents[[#This Row],[Writing Score]])</f>
        <v>68</v>
      </c>
      <c r="J315">
        <f>IF(tblStudents[[#This Row],[Average Score]]&gt;=60,1,0)</f>
        <v>1</v>
      </c>
      <c r="K315" t="str">
        <f>IF(tblStudents[[#This Row],[Average Score]]&gt;=60,"Pass","At Risk")</f>
        <v>Pass</v>
      </c>
      <c r="L315" t="str" cm="1">
        <f t="array" ref="L315">_xlfn.IFS(tblStudents[[#This Row],[Average Score]]&gt;=80,"High",tblStudents[[#This Row],[Average Score]]&gt;=60,"Meets Standard",TRUE,"At Risk")</f>
        <v>Meets Standard</v>
      </c>
      <c r="M3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16" spans="1:13" x14ac:dyDescent="0.25">
      <c r="A316" t="s">
        <v>0</v>
      </c>
      <c r="B316" t="s">
        <v>5</v>
      </c>
      <c r="C316" t="s">
        <v>2</v>
      </c>
      <c r="D316" t="s">
        <v>3</v>
      </c>
      <c r="E316" t="s">
        <v>7</v>
      </c>
      <c r="F316">
        <v>59</v>
      </c>
      <c r="G316">
        <v>64</v>
      </c>
      <c r="H316">
        <v>75</v>
      </c>
      <c r="I316" s="1">
        <f>AVERAGE(tblStudents[[#This Row],[Math Score]],tblStudents[[#This Row],[Reading Score]],tblStudents[[#This Row],[Writing Score]])</f>
        <v>66</v>
      </c>
      <c r="J316">
        <f>IF(tblStudents[[#This Row],[Average Score]]&gt;=60,1,0)</f>
        <v>1</v>
      </c>
      <c r="K316" t="str">
        <f>IF(tblStudents[[#This Row],[Average Score]]&gt;=60,"Pass","At Risk")</f>
        <v>Pass</v>
      </c>
      <c r="L316" t="str" cm="1">
        <f t="array" ref="L316">_xlfn.IFS(tblStudents[[#This Row],[Average Score]]&gt;=80,"High",tblStudents[[#This Row],[Average Score]]&gt;=60,"Meets Standard",TRUE,"At Risk")</f>
        <v>Meets Standard</v>
      </c>
      <c r="M3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317" spans="1:13" x14ac:dyDescent="0.25">
      <c r="A317" t="s">
        <v>9</v>
      </c>
      <c r="B317" t="s">
        <v>5</v>
      </c>
      <c r="C317" t="s">
        <v>14</v>
      </c>
      <c r="D317" t="s">
        <v>3</v>
      </c>
      <c r="E317" t="s">
        <v>4</v>
      </c>
      <c r="F317">
        <v>71</v>
      </c>
      <c r="G317">
        <v>66</v>
      </c>
      <c r="H317">
        <v>65</v>
      </c>
      <c r="I317" s="1">
        <f>AVERAGE(tblStudents[[#This Row],[Math Score]],tblStudents[[#This Row],[Reading Score]],tblStudents[[#This Row],[Writing Score]])</f>
        <v>67.333333333333329</v>
      </c>
      <c r="J317">
        <f>IF(tblStudents[[#This Row],[Average Score]]&gt;=60,1,0)</f>
        <v>1</v>
      </c>
      <c r="K317" t="str">
        <f>IF(tblStudents[[#This Row],[Average Score]]&gt;=60,"Pass","At Risk")</f>
        <v>Pass</v>
      </c>
      <c r="L317" t="str" cm="1">
        <f t="array" ref="L317">_xlfn.IFS(tblStudents[[#This Row],[Average Score]]&gt;=80,"High",tblStudents[[#This Row],[Average Score]]&gt;=60,"Meets Standard",TRUE,"At Risk")</f>
        <v>Meets Standard</v>
      </c>
      <c r="M3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318" spans="1:13" x14ac:dyDescent="0.25">
      <c r="A318" t="s">
        <v>0</v>
      </c>
      <c r="B318" t="s">
        <v>13</v>
      </c>
      <c r="C318" t="s">
        <v>8</v>
      </c>
      <c r="D318" t="s">
        <v>3</v>
      </c>
      <c r="E318" t="s">
        <v>7</v>
      </c>
      <c r="F318">
        <v>77</v>
      </c>
      <c r="G318">
        <v>82</v>
      </c>
      <c r="H318">
        <v>91</v>
      </c>
      <c r="I318" s="1">
        <f>AVERAGE(tblStudents[[#This Row],[Math Score]],tblStudents[[#This Row],[Reading Score]],tblStudents[[#This Row],[Writing Score]])</f>
        <v>83.333333333333329</v>
      </c>
      <c r="J318">
        <f>IF(tblStudents[[#This Row],[Average Score]]&gt;=60,1,0)</f>
        <v>1</v>
      </c>
      <c r="K318" t="str">
        <f>IF(tblStudents[[#This Row],[Average Score]]&gt;=60,"Pass","At Risk")</f>
        <v>Pass</v>
      </c>
      <c r="L318" t="str" cm="1">
        <f t="array" ref="L318">_xlfn.IFS(tblStudents[[#This Row],[Average Score]]&gt;=80,"High",tblStudents[[#This Row],[Average Score]]&gt;=60,"Meets Standard",TRUE,"At Risk")</f>
        <v>High</v>
      </c>
      <c r="M3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319" spans="1:13" x14ac:dyDescent="0.25">
      <c r="A319" t="s">
        <v>9</v>
      </c>
      <c r="B319" t="s">
        <v>5</v>
      </c>
      <c r="C319" t="s">
        <v>11</v>
      </c>
      <c r="D319" t="s">
        <v>3</v>
      </c>
      <c r="E319" t="s">
        <v>4</v>
      </c>
      <c r="F319">
        <v>83</v>
      </c>
      <c r="G319">
        <v>72</v>
      </c>
      <c r="H319">
        <v>78</v>
      </c>
      <c r="I319" s="1">
        <f>AVERAGE(tblStudents[[#This Row],[Math Score]],tblStudents[[#This Row],[Reading Score]],tblStudents[[#This Row],[Writing Score]])</f>
        <v>77.666666666666671</v>
      </c>
      <c r="J319">
        <f>IF(tblStudents[[#This Row],[Average Score]]&gt;=60,1,0)</f>
        <v>1</v>
      </c>
      <c r="K319" t="str">
        <f>IF(tblStudents[[#This Row],[Average Score]]&gt;=60,"Pass","At Risk")</f>
        <v>Pass</v>
      </c>
      <c r="L319" t="str" cm="1">
        <f t="array" ref="L319">_xlfn.IFS(tblStudents[[#This Row],[Average Score]]&gt;=80,"High",tblStudents[[#This Row],[Average Score]]&gt;=60,"Meets Standard",TRUE,"At Risk")</f>
        <v>Meets Standard</v>
      </c>
      <c r="M3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320" spans="1:13" x14ac:dyDescent="0.25">
      <c r="A320" t="s">
        <v>9</v>
      </c>
      <c r="B320" t="s">
        <v>1</v>
      </c>
      <c r="C320" t="s">
        <v>2</v>
      </c>
      <c r="D320" t="s">
        <v>3</v>
      </c>
      <c r="E320" t="s">
        <v>4</v>
      </c>
      <c r="F320">
        <v>63</v>
      </c>
      <c r="G320">
        <v>71</v>
      </c>
      <c r="H320">
        <v>69</v>
      </c>
      <c r="I320" s="1">
        <f>AVERAGE(tblStudents[[#This Row],[Math Score]],tblStudents[[#This Row],[Reading Score]],tblStudents[[#This Row],[Writing Score]])</f>
        <v>67.666666666666671</v>
      </c>
      <c r="J320">
        <f>IF(tblStudents[[#This Row],[Average Score]]&gt;=60,1,0)</f>
        <v>1</v>
      </c>
      <c r="K320" t="str">
        <f>IF(tblStudents[[#This Row],[Average Score]]&gt;=60,"Pass","At Risk")</f>
        <v>Pass</v>
      </c>
      <c r="L320" t="str" cm="1">
        <f t="array" ref="L320">_xlfn.IFS(tblStudents[[#This Row],[Average Score]]&gt;=80,"High",tblStudents[[#This Row],[Average Score]]&gt;=60,"Meets Standard",TRUE,"At Risk")</f>
        <v>Meets Standard</v>
      </c>
      <c r="M3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321" spans="1:13" x14ac:dyDescent="0.25">
      <c r="A321" t="s">
        <v>0</v>
      </c>
      <c r="B321" t="s">
        <v>13</v>
      </c>
      <c r="C321" t="s">
        <v>11</v>
      </c>
      <c r="D321" t="s">
        <v>12</v>
      </c>
      <c r="E321" t="s">
        <v>4</v>
      </c>
      <c r="F321">
        <v>56</v>
      </c>
      <c r="G321">
        <v>65</v>
      </c>
      <c r="H321">
        <v>63</v>
      </c>
      <c r="I321" s="1">
        <f>AVERAGE(tblStudents[[#This Row],[Math Score]],tblStudents[[#This Row],[Reading Score]],tblStudents[[#This Row],[Writing Score]])</f>
        <v>61.333333333333336</v>
      </c>
      <c r="J321">
        <f>IF(tblStudents[[#This Row],[Average Score]]&gt;=60,1,0)</f>
        <v>1</v>
      </c>
      <c r="K321" t="str">
        <f>IF(tblStudents[[#This Row],[Average Score]]&gt;=60,"Pass","At Risk")</f>
        <v>Pass</v>
      </c>
      <c r="L321" t="str" cm="1">
        <f t="array" ref="L321">_xlfn.IFS(tblStudents[[#This Row],[Average Score]]&gt;=80,"High",tblStudents[[#This Row],[Average Score]]&gt;=60,"Meets Standard",TRUE,"At Risk")</f>
        <v>Meets Standard</v>
      </c>
      <c r="M3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22" spans="1:13" x14ac:dyDescent="0.25">
      <c r="A322" t="s">
        <v>0</v>
      </c>
      <c r="B322" t="s">
        <v>5</v>
      </c>
      <c r="C322" t="s">
        <v>14</v>
      </c>
      <c r="D322" t="s">
        <v>12</v>
      </c>
      <c r="E322" t="s">
        <v>7</v>
      </c>
      <c r="F322">
        <v>67</v>
      </c>
      <c r="G322">
        <v>79</v>
      </c>
      <c r="H322">
        <v>84</v>
      </c>
      <c r="I322" s="1">
        <f>AVERAGE(tblStudents[[#This Row],[Math Score]],tblStudents[[#This Row],[Reading Score]],tblStudents[[#This Row],[Writing Score]])</f>
        <v>76.666666666666671</v>
      </c>
      <c r="J322">
        <f>IF(tblStudents[[#This Row],[Average Score]]&gt;=60,1,0)</f>
        <v>1</v>
      </c>
      <c r="K322" t="str">
        <f>IF(tblStudents[[#This Row],[Average Score]]&gt;=60,"Pass","At Risk")</f>
        <v>Pass</v>
      </c>
      <c r="L322" t="str" cm="1">
        <f t="array" ref="L322">_xlfn.IFS(tblStudents[[#This Row],[Average Score]]&gt;=80,"High",tblStudents[[#This Row],[Average Score]]&gt;=60,"Meets Standard",TRUE,"At Risk")</f>
        <v>Meets Standard</v>
      </c>
      <c r="M3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323" spans="1:13" x14ac:dyDescent="0.25">
      <c r="A323" t="s">
        <v>0</v>
      </c>
      <c r="B323" t="s">
        <v>16</v>
      </c>
      <c r="C323" t="s">
        <v>14</v>
      </c>
      <c r="D323" t="s">
        <v>3</v>
      </c>
      <c r="E323" t="s">
        <v>4</v>
      </c>
      <c r="F323">
        <v>75</v>
      </c>
      <c r="G323">
        <v>86</v>
      </c>
      <c r="H323">
        <v>79</v>
      </c>
      <c r="I323" s="1">
        <f>AVERAGE(tblStudents[[#This Row],[Math Score]],tblStudents[[#This Row],[Reading Score]],tblStudents[[#This Row],[Writing Score]])</f>
        <v>80</v>
      </c>
      <c r="J323">
        <f>IF(tblStudents[[#This Row],[Average Score]]&gt;=60,1,0)</f>
        <v>1</v>
      </c>
      <c r="K323" t="str">
        <f>IF(tblStudents[[#This Row],[Average Score]]&gt;=60,"Pass","At Risk")</f>
        <v>Pass</v>
      </c>
      <c r="L323" t="str" cm="1">
        <f t="array" ref="L323">_xlfn.IFS(tblStudents[[#This Row],[Average Score]]&gt;=80,"High",tblStudents[[#This Row],[Average Score]]&gt;=60,"Meets Standard",TRUE,"At Risk")</f>
        <v>High</v>
      </c>
      <c r="M3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324" spans="1:13" x14ac:dyDescent="0.25">
      <c r="A324" t="s">
        <v>0</v>
      </c>
      <c r="B324" t="s">
        <v>5</v>
      </c>
      <c r="C324" t="s">
        <v>6</v>
      </c>
      <c r="D324" t="s">
        <v>3</v>
      </c>
      <c r="E324" t="s">
        <v>4</v>
      </c>
      <c r="F324">
        <v>71</v>
      </c>
      <c r="G324">
        <v>81</v>
      </c>
      <c r="H324">
        <v>80</v>
      </c>
      <c r="I324" s="1">
        <f>AVERAGE(tblStudents[[#This Row],[Math Score]],tblStudents[[#This Row],[Reading Score]],tblStudents[[#This Row],[Writing Score]])</f>
        <v>77.333333333333329</v>
      </c>
      <c r="J324">
        <f>IF(tblStudents[[#This Row],[Average Score]]&gt;=60,1,0)</f>
        <v>1</v>
      </c>
      <c r="K324" t="str">
        <f>IF(tblStudents[[#This Row],[Average Score]]&gt;=60,"Pass","At Risk")</f>
        <v>Pass</v>
      </c>
      <c r="L324" t="str" cm="1">
        <f t="array" ref="L324">_xlfn.IFS(tblStudents[[#This Row],[Average Score]]&gt;=80,"High",tblStudents[[#This Row],[Average Score]]&gt;=60,"Meets Standard",TRUE,"At Risk")</f>
        <v>Meets Standard</v>
      </c>
      <c r="M3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325" spans="1:13" x14ac:dyDescent="0.25">
      <c r="A325" t="s">
        <v>0</v>
      </c>
      <c r="B325" t="s">
        <v>5</v>
      </c>
      <c r="C325" t="s">
        <v>15</v>
      </c>
      <c r="D325" t="s">
        <v>12</v>
      </c>
      <c r="E325" t="s">
        <v>4</v>
      </c>
      <c r="F325">
        <v>43</v>
      </c>
      <c r="G325">
        <v>53</v>
      </c>
      <c r="H325">
        <v>53</v>
      </c>
      <c r="I325" s="1">
        <f>AVERAGE(tblStudents[[#This Row],[Math Score]],tblStudents[[#This Row],[Reading Score]],tblStudents[[#This Row],[Writing Score]])</f>
        <v>49.666666666666664</v>
      </c>
      <c r="J325">
        <f>IF(tblStudents[[#This Row],[Average Score]]&gt;=60,1,0)</f>
        <v>0</v>
      </c>
      <c r="K325" t="str">
        <f>IF(tblStudents[[#This Row],[Average Score]]&gt;=60,"Pass","At Risk")</f>
        <v>At Risk</v>
      </c>
      <c r="L325" t="str" cm="1">
        <f t="array" ref="L325">_xlfn.IFS(tblStudents[[#This Row],[Average Score]]&gt;=80,"High",tblStudents[[#This Row],[Average Score]]&gt;=60,"Meets Standard",TRUE,"At Risk")</f>
        <v>At Risk</v>
      </c>
      <c r="M3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326" spans="1:13" x14ac:dyDescent="0.25">
      <c r="A326" t="s">
        <v>0</v>
      </c>
      <c r="B326" t="s">
        <v>5</v>
      </c>
      <c r="C326" t="s">
        <v>14</v>
      </c>
      <c r="D326" t="s">
        <v>12</v>
      </c>
      <c r="E326" t="s">
        <v>4</v>
      </c>
      <c r="F326">
        <v>41</v>
      </c>
      <c r="G326">
        <v>46</v>
      </c>
      <c r="H326">
        <v>43</v>
      </c>
      <c r="I326" s="1">
        <f>AVERAGE(tblStudents[[#This Row],[Math Score]],tblStudents[[#This Row],[Reading Score]],tblStudents[[#This Row],[Writing Score]])</f>
        <v>43.333333333333336</v>
      </c>
      <c r="J326">
        <f>IF(tblStudents[[#This Row],[Average Score]]&gt;=60,1,0)</f>
        <v>0</v>
      </c>
      <c r="K326" t="str">
        <f>IF(tblStudents[[#This Row],[Average Score]]&gt;=60,"Pass","At Risk")</f>
        <v>At Risk</v>
      </c>
      <c r="L326" t="str" cm="1">
        <f t="array" ref="L326">_xlfn.IFS(tblStudents[[#This Row],[Average Score]]&gt;=80,"High",tblStudents[[#This Row],[Average Score]]&gt;=60,"Meets Standard",TRUE,"At Risk")</f>
        <v>At Risk</v>
      </c>
      <c r="M3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27" spans="1:13" x14ac:dyDescent="0.25">
      <c r="A327" t="s">
        <v>0</v>
      </c>
      <c r="B327" t="s">
        <v>5</v>
      </c>
      <c r="C327" t="s">
        <v>6</v>
      </c>
      <c r="D327" t="s">
        <v>3</v>
      </c>
      <c r="E327" t="s">
        <v>4</v>
      </c>
      <c r="F327">
        <v>82</v>
      </c>
      <c r="G327">
        <v>90</v>
      </c>
      <c r="H327">
        <v>94</v>
      </c>
      <c r="I327" s="1">
        <f>AVERAGE(tblStudents[[#This Row],[Math Score]],tblStudents[[#This Row],[Reading Score]],tblStudents[[#This Row],[Writing Score]])</f>
        <v>88.666666666666671</v>
      </c>
      <c r="J327">
        <f>IF(tblStudents[[#This Row],[Average Score]]&gt;=60,1,0)</f>
        <v>1</v>
      </c>
      <c r="K327" t="str">
        <f>IF(tblStudents[[#This Row],[Average Score]]&gt;=60,"Pass","At Risk")</f>
        <v>Pass</v>
      </c>
      <c r="L327" t="str" cm="1">
        <f t="array" ref="L327">_xlfn.IFS(tblStudents[[#This Row],[Average Score]]&gt;=80,"High",tblStudents[[#This Row],[Average Score]]&gt;=60,"Meets Standard",TRUE,"At Risk")</f>
        <v>High</v>
      </c>
      <c r="M3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28" spans="1:13" x14ac:dyDescent="0.25">
      <c r="A328" t="s">
        <v>9</v>
      </c>
      <c r="B328" t="s">
        <v>5</v>
      </c>
      <c r="C328" t="s">
        <v>6</v>
      </c>
      <c r="D328" t="s">
        <v>3</v>
      </c>
      <c r="E328" t="s">
        <v>4</v>
      </c>
      <c r="F328">
        <v>61</v>
      </c>
      <c r="G328">
        <v>61</v>
      </c>
      <c r="H328">
        <v>62</v>
      </c>
      <c r="I328" s="1">
        <f>AVERAGE(tblStudents[[#This Row],[Math Score]],tblStudents[[#This Row],[Reading Score]],tblStudents[[#This Row],[Writing Score]])</f>
        <v>61.333333333333336</v>
      </c>
      <c r="J328">
        <f>IF(tblStudents[[#This Row],[Average Score]]&gt;=60,1,0)</f>
        <v>1</v>
      </c>
      <c r="K328" t="str">
        <f>IF(tblStudents[[#This Row],[Average Score]]&gt;=60,"Pass","At Risk")</f>
        <v>Pass</v>
      </c>
      <c r="L328" t="str" cm="1">
        <f t="array" ref="L328">_xlfn.IFS(tblStudents[[#This Row],[Average Score]]&gt;=80,"High",tblStudents[[#This Row],[Average Score]]&gt;=60,"Meets Standard",TRUE,"At Risk")</f>
        <v>Meets Standard</v>
      </c>
      <c r="M3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329" spans="1:13" x14ac:dyDescent="0.25">
      <c r="A329" t="s">
        <v>9</v>
      </c>
      <c r="B329" t="s">
        <v>10</v>
      </c>
      <c r="C329" t="s">
        <v>6</v>
      </c>
      <c r="D329" t="s">
        <v>12</v>
      </c>
      <c r="E329" t="s">
        <v>4</v>
      </c>
      <c r="F329">
        <v>28</v>
      </c>
      <c r="G329">
        <v>23</v>
      </c>
      <c r="H329">
        <v>19</v>
      </c>
      <c r="I329" s="1">
        <f>AVERAGE(tblStudents[[#This Row],[Math Score]],tblStudents[[#This Row],[Reading Score]],tblStudents[[#This Row],[Writing Score]])</f>
        <v>23.333333333333332</v>
      </c>
      <c r="J329">
        <f>IF(tblStudents[[#This Row],[Average Score]]&gt;=60,1,0)</f>
        <v>0</v>
      </c>
      <c r="K329" t="str">
        <f>IF(tblStudents[[#This Row],[Average Score]]&gt;=60,"Pass","At Risk")</f>
        <v>At Risk</v>
      </c>
      <c r="L329" t="str" cm="1">
        <f t="array" ref="L329">_xlfn.IFS(tblStudents[[#This Row],[Average Score]]&gt;=80,"High",tblStudents[[#This Row],[Average Score]]&gt;=60,"Meets Standard",TRUE,"At Risk")</f>
        <v>At Risk</v>
      </c>
      <c r="M3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30" spans="1:13" x14ac:dyDescent="0.25">
      <c r="A330" t="s">
        <v>9</v>
      </c>
      <c r="B330" t="s">
        <v>5</v>
      </c>
      <c r="C330" t="s">
        <v>11</v>
      </c>
      <c r="D330" t="s">
        <v>3</v>
      </c>
      <c r="E330" t="s">
        <v>7</v>
      </c>
      <c r="F330">
        <v>82</v>
      </c>
      <c r="G330">
        <v>75</v>
      </c>
      <c r="H330">
        <v>77</v>
      </c>
      <c r="I330" s="1">
        <f>AVERAGE(tblStudents[[#This Row],[Math Score]],tblStudents[[#This Row],[Reading Score]],tblStudents[[#This Row],[Writing Score]])</f>
        <v>78</v>
      </c>
      <c r="J330">
        <f>IF(tblStudents[[#This Row],[Average Score]]&gt;=60,1,0)</f>
        <v>1</v>
      </c>
      <c r="K330" t="str">
        <f>IF(tblStudents[[#This Row],[Average Score]]&gt;=60,"Pass","At Risk")</f>
        <v>Pass</v>
      </c>
      <c r="L330" t="str" cm="1">
        <f t="array" ref="L330">_xlfn.IFS(tblStudents[[#This Row],[Average Score]]&gt;=80,"High",tblStudents[[#This Row],[Average Score]]&gt;=60,"Meets Standard",TRUE,"At Risk")</f>
        <v>Meets Standard</v>
      </c>
      <c r="M3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31" spans="1:13" x14ac:dyDescent="0.25">
      <c r="A331" t="s">
        <v>0</v>
      </c>
      <c r="B331" t="s">
        <v>1</v>
      </c>
      <c r="C331" t="s">
        <v>15</v>
      </c>
      <c r="D331" t="s">
        <v>3</v>
      </c>
      <c r="E331" t="s">
        <v>4</v>
      </c>
      <c r="F331">
        <v>41</v>
      </c>
      <c r="G331">
        <v>55</v>
      </c>
      <c r="H331">
        <v>51</v>
      </c>
      <c r="I331" s="1">
        <f>AVERAGE(tblStudents[[#This Row],[Math Score]],tblStudents[[#This Row],[Reading Score]],tblStudents[[#This Row],[Writing Score]])</f>
        <v>49</v>
      </c>
      <c r="J331">
        <f>IF(tblStudents[[#This Row],[Average Score]]&gt;=60,1,0)</f>
        <v>0</v>
      </c>
      <c r="K331" t="str">
        <f>IF(tblStudents[[#This Row],[Average Score]]&gt;=60,"Pass","At Risk")</f>
        <v>At Risk</v>
      </c>
      <c r="L331" t="str" cm="1">
        <f t="array" ref="L331">_xlfn.IFS(tblStudents[[#This Row],[Average Score]]&gt;=80,"High",tblStudents[[#This Row],[Average Score]]&gt;=60,"Meets Standard",TRUE,"At Risk")</f>
        <v>At Risk</v>
      </c>
      <c r="M3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332" spans="1:13" x14ac:dyDescent="0.25">
      <c r="A332" t="s">
        <v>9</v>
      </c>
      <c r="B332" t="s">
        <v>5</v>
      </c>
      <c r="C332" t="s">
        <v>14</v>
      </c>
      <c r="D332" t="s">
        <v>3</v>
      </c>
      <c r="E332" t="s">
        <v>4</v>
      </c>
      <c r="F332">
        <v>71</v>
      </c>
      <c r="G332">
        <v>60</v>
      </c>
      <c r="H332">
        <v>61</v>
      </c>
      <c r="I332" s="1">
        <f>AVERAGE(tblStudents[[#This Row],[Math Score]],tblStudents[[#This Row],[Reading Score]],tblStudents[[#This Row],[Writing Score]])</f>
        <v>64</v>
      </c>
      <c r="J332">
        <f>IF(tblStudents[[#This Row],[Average Score]]&gt;=60,1,0)</f>
        <v>1</v>
      </c>
      <c r="K332" t="str">
        <f>IF(tblStudents[[#This Row],[Average Score]]&gt;=60,"Pass","At Risk")</f>
        <v>Pass</v>
      </c>
      <c r="L332" t="str" cm="1">
        <f t="array" ref="L332">_xlfn.IFS(tblStudents[[#This Row],[Average Score]]&gt;=80,"High",tblStudents[[#This Row],[Average Score]]&gt;=60,"Meets Standard",TRUE,"At Risk")</f>
        <v>Meets Standard</v>
      </c>
      <c r="M3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333" spans="1:13" x14ac:dyDescent="0.25">
      <c r="A333" t="s">
        <v>9</v>
      </c>
      <c r="B333" t="s">
        <v>5</v>
      </c>
      <c r="C333" t="s">
        <v>11</v>
      </c>
      <c r="D333" t="s">
        <v>3</v>
      </c>
      <c r="E333" t="s">
        <v>4</v>
      </c>
      <c r="F333">
        <v>47</v>
      </c>
      <c r="G333">
        <v>37</v>
      </c>
      <c r="H333">
        <v>35</v>
      </c>
      <c r="I333" s="1">
        <f>AVERAGE(tblStudents[[#This Row],[Math Score]],tblStudents[[#This Row],[Reading Score]],tblStudents[[#This Row],[Writing Score]])</f>
        <v>39.666666666666664</v>
      </c>
      <c r="J333">
        <f>IF(tblStudents[[#This Row],[Average Score]]&gt;=60,1,0)</f>
        <v>0</v>
      </c>
      <c r="K333" t="str">
        <f>IF(tblStudents[[#This Row],[Average Score]]&gt;=60,"Pass","At Risk")</f>
        <v>At Risk</v>
      </c>
      <c r="L333" t="str" cm="1">
        <f t="array" ref="L333">_xlfn.IFS(tblStudents[[#This Row],[Average Score]]&gt;=80,"High",tblStudents[[#This Row],[Average Score]]&gt;=60,"Meets Standard",TRUE,"At Risk")</f>
        <v>At Risk</v>
      </c>
      <c r="M3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34" spans="1:13" x14ac:dyDescent="0.25">
      <c r="A334" t="s">
        <v>9</v>
      </c>
      <c r="B334" t="s">
        <v>16</v>
      </c>
      <c r="C334" t="s">
        <v>11</v>
      </c>
      <c r="D334" t="s">
        <v>3</v>
      </c>
      <c r="E334" t="s">
        <v>7</v>
      </c>
      <c r="F334">
        <v>62</v>
      </c>
      <c r="G334">
        <v>56</v>
      </c>
      <c r="H334">
        <v>53</v>
      </c>
      <c r="I334" s="1">
        <f>AVERAGE(tblStudents[[#This Row],[Math Score]],tblStudents[[#This Row],[Reading Score]],tblStudents[[#This Row],[Writing Score]])</f>
        <v>57</v>
      </c>
      <c r="J334">
        <f>IF(tblStudents[[#This Row],[Average Score]]&gt;=60,1,0)</f>
        <v>0</v>
      </c>
      <c r="K334" t="str">
        <f>IF(tblStudents[[#This Row],[Average Score]]&gt;=60,"Pass","At Risk")</f>
        <v>At Risk</v>
      </c>
      <c r="L334" t="str" cm="1">
        <f t="array" ref="L334">_xlfn.IFS(tblStudents[[#This Row],[Average Score]]&gt;=80,"High",tblStudents[[#This Row],[Average Score]]&gt;=60,"Meets Standard",TRUE,"At Risk")</f>
        <v>At Risk</v>
      </c>
      <c r="M3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35" spans="1:13" x14ac:dyDescent="0.25">
      <c r="A335" t="s">
        <v>9</v>
      </c>
      <c r="B335" t="s">
        <v>1</v>
      </c>
      <c r="C335" t="s">
        <v>11</v>
      </c>
      <c r="D335" t="s">
        <v>3</v>
      </c>
      <c r="E335" t="s">
        <v>4</v>
      </c>
      <c r="F335">
        <v>90</v>
      </c>
      <c r="G335">
        <v>78</v>
      </c>
      <c r="H335">
        <v>81</v>
      </c>
      <c r="I335" s="1">
        <f>AVERAGE(tblStudents[[#This Row],[Math Score]],tblStudents[[#This Row],[Reading Score]],tblStudents[[#This Row],[Writing Score]])</f>
        <v>83</v>
      </c>
      <c r="J335">
        <f>IF(tblStudents[[#This Row],[Average Score]]&gt;=60,1,0)</f>
        <v>1</v>
      </c>
      <c r="K335" t="str">
        <f>IF(tblStudents[[#This Row],[Average Score]]&gt;=60,"Pass","At Risk")</f>
        <v>Pass</v>
      </c>
      <c r="L335" t="str" cm="1">
        <f t="array" ref="L335">_xlfn.IFS(tblStudents[[#This Row],[Average Score]]&gt;=80,"High",tblStudents[[#This Row],[Average Score]]&gt;=60,"Meets Standard",TRUE,"At Risk")</f>
        <v>High</v>
      </c>
      <c r="M3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36" spans="1:13" x14ac:dyDescent="0.25">
      <c r="A336" t="s">
        <v>0</v>
      </c>
      <c r="B336" t="s">
        <v>5</v>
      </c>
      <c r="C336" t="s">
        <v>2</v>
      </c>
      <c r="D336" t="s">
        <v>3</v>
      </c>
      <c r="E336" t="s">
        <v>4</v>
      </c>
      <c r="F336">
        <v>83</v>
      </c>
      <c r="G336">
        <v>93</v>
      </c>
      <c r="H336">
        <v>95</v>
      </c>
      <c r="I336" s="1">
        <f>AVERAGE(tblStudents[[#This Row],[Math Score]],tblStudents[[#This Row],[Reading Score]],tblStudents[[#This Row],[Writing Score]])</f>
        <v>90.333333333333329</v>
      </c>
      <c r="J336">
        <f>IF(tblStudents[[#This Row],[Average Score]]&gt;=60,1,0)</f>
        <v>1</v>
      </c>
      <c r="K336" t="str">
        <f>IF(tblStudents[[#This Row],[Average Score]]&gt;=60,"Pass","At Risk")</f>
        <v>Pass</v>
      </c>
      <c r="L336" t="str" cm="1">
        <f t="array" ref="L336">_xlfn.IFS(tblStudents[[#This Row],[Average Score]]&gt;=80,"High",tblStudents[[#This Row],[Average Score]]&gt;=60,"Meets Standard",TRUE,"At Risk")</f>
        <v>High</v>
      </c>
      <c r="M3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37" spans="1:13" x14ac:dyDescent="0.25">
      <c r="A337" t="s">
        <v>0</v>
      </c>
      <c r="B337" t="s">
        <v>1</v>
      </c>
      <c r="C337" t="s">
        <v>6</v>
      </c>
      <c r="D337" t="s">
        <v>12</v>
      </c>
      <c r="E337" t="s">
        <v>4</v>
      </c>
      <c r="F337">
        <v>61</v>
      </c>
      <c r="G337">
        <v>68</v>
      </c>
      <c r="H337">
        <v>66</v>
      </c>
      <c r="I337" s="1">
        <f>AVERAGE(tblStudents[[#This Row],[Math Score]],tblStudents[[#This Row],[Reading Score]],tblStudents[[#This Row],[Writing Score]])</f>
        <v>65</v>
      </c>
      <c r="J337">
        <f>IF(tblStudents[[#This Row],[Average Score]]&gt;=60,1,0)</f>
        <v>1</v>
      </c>
      <c r="K337" t="str">
        <f>IF(tblStudents[[#This Row],[Average Score]]&gt;=60,"Pass","At Risk")</f>
        <v>Pass</v>
      </c>
      <c r="L337" t="str" cm="1">
        <f t="array" ref="L337">_xlfn.IFS(tblStudents[[#This Row],[Average Score]]&gt;=80,"High",tblStudents[[#This Row],[Average Score]]&gt;=60,"Meets Standard",TRUE,"At Risk")</f>
        <v>Meets Standard</v>
      </c>
      <c r="M3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38" spans="1:13" x14ac:dyDescent="0.25">
      <c r="A338" t="s">
        <v>9</v>
      </c>
      <c r="B338" t="s">
        <v>13</v>
      </c>
      <c r="C338" t="s">
        <v>15</v>
      </c>
      <c r="D338" t="s">
        <v>3</v>
      </c>
      <c r="E338" t="s">
        <v>7</v>
      </c>
      <c r="F338">
        <v>76</v>
      </c>
      <c r="G338">
        <v>70</v>
      </c>
      <c r="H338">
        <v>69</v>
      </c>
      <c r="I338" s="1">
        <f>AVERAGE(tblStudents[[#This Row],[Math Score]],tblStudents[[#This Row],[Reading Score]],tblStudents[[#This Row],[Writing Score]])</f>
        <v>71.666666666666671</v>
      </c>
      <c r="J338">
        <f>IF(tblStudents[[#This Row],[Average Score]]&gt;=60,1,0)</f>
        <v>1</v>
      </c>
      <c r="K338" t="str">
        <f>IF(tblStudents[[#This Row],[Average Score]]&gt;=60,"Pass","At Risk")</f>
        <v>Pass</v>
      </c>
      <c r="L338" t="str" cm="1">
        <f t="array" ref="L338">_xlfn.IFS(tblStudents[[#This Row],[Average Score]]&gt;=80,"High",tblStudents[[#This Row],[Average Score]]&gt;=60,"Meets Standard",TRUE,"At Risk")</f>
        <v>Meets Standard</v>
      </c>
      <c r="M3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39" spans="1:13" x14ac:dyDescent="0.25">
      <c r="A339" t="s">
        <v>9</v>
      </c>
      <c r="B339" t="s">
        <v>5</v>
      </c>
      <c r="C339" t="s">
        <v>11</v>
      </c>
      <c r="D339" t="s">
        <v>3</v>
      </c>
      <c r="E339" t="s">
        <v>4</v>
      </c>
      <c r="F339">
        <v>49</v>
      </c>
      <c r="G339">
        <v>51</v>
      </c>
      <c r="H339">
        <v>43</v>
      </c>
      <c r="I339" s="1">
        <f>AVERAGE(tblStudents[[#This Row],[Math Score]],tblStudents[[#This Row],[Reading Score]],tblStudents[[#This Row],[Writing Score]])</f>
        <v>47.666666666666664</v>
      </c>
      <c r="J339">
        <f>IF(tblStudents[[#This Row],[Average Score]]&gt;=60,1,0)</f>
        <v>0</v>
      </c>
      <c r="K339" t="str">
        <f>IF(tblStudents[[#This Row],[Average Score]]&gt;=60,"Pass","At Risk")</f>
        <v>At Risk</v>
      </c>
      <c r="L339" t="str" cm="1">
        <f t="array" ref="L339">_xlfn.IFS(tblStudents[[#This Row],[Average Score]]&gt;=80,"High",tblStudents[[#This Row],[Average Score]]&gt;=60,"Meets Standard",TRUE,"At Risk")</f>
        <v>At Risk</v>
      </c>
      <c r="M3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340" spans="1:13" x14ac:dyDescent="0.25">
      <c r="A340" t="s">
        <v>0</v>
      </c>
      <c r="B340" t="s">
        <v>1</v>
      </c>
      <c r="C340" t="s">
        <v>15</v>
      </c>
      <c r="D340" t="s">
        <v>12</v>
      </c>
      <c r="E340" t="s">
        <v>4</v>
      </c>
      <c r="F340">
        <v>24</v>
      </c>
      <c r="G340">
        <v>38</v>
      </c>
      <c r="H340">
        <v>27</v>
      </c>
      <c r="I340" s="1">
        <f>AVERAGE(tblStudents[[#This Row],[Math Score]],tblStudents[[#This Row],[Reading Score]],tblStudents[[#This Row],[Writing Score]])</f>
        <v>29.666666666666668</v>
      </c>
      <c r="J340">
        <f>IF(tblStudents[[#This Row],[Average Score]]&gt;=60,1,0)</f>
        <v>0</v>
      </c>
      <c r="K340" t="str">
        <f>IF(tblStudents[[#This Row],[Average Score]]&gt;=60,"Pass","At Risk")</f>
        <v>At Risk</v>
      </c>
      <c r="L340" t="str" cm="1">
        <f t="array" ref="L340">_xlfn.IFS(tblStudents[[#This Row],[Average Score]]&gt;=80,"High",tblStudents[[#This Row],[Average Score]]&gt;=60,"Meets Standard",TRUE,"At Risk")</f>
        <v>At Risk</v>
      </c>
      <c r="M3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341" spans="1:13" x14ac:dyDescent="0.25">
      <c r="A341" t="s">
        <v>0</v>
      </c>
      <c r="B341" t="s">
        <v>13</v>
      </c>
      <c r="C341" t="s">
        <v>15</v>
      </c>
      <c r="D341" t="s">
        <v>12</v>
      </c>
      <c r="E341" t="s">
        <v>7</v>
      </c>
      <c r="F341">
        <v>35</v>
      </c>
      <c r="G341">
        <v>55</v>
      </c>
      <c r="H341">
        <v>60</v>
      </c>
      <c r="I341" s="1">
        <f>AVERAGE(tblStudents[[#This Row],[Math Score]],tblStudents[[#This Row],[Reading Score]],tblStudents[[#This Row],[Writing Score]])</f>
        <v>50</v>
      </c>
      <c r="J341">
        <f>IF(tblStudents[[#This Row],[Average Score]]&gt;=60,1,0)</f>
        <v>0</v>
      </c>
      <c r="K341" t="str">
        <f>IF(tblStudents[[#This Row],[Average Score]]&gt;=60,"Pass","At Risk")</f>
        <v>At Risk</v>
      </c>
      <c r="L341" t="str" cm="1">
        <f t="array" ref="L341">_xlfn.IFS(tblStudents[[#This Row],[Average Score]]&gt;=80,"High",tblStudents[[#This Row],[Average Score]]&gt;=60,"Meets Standard",TRUE,"At Risk")</f>
        <v>At Risk</v>
      </c>
      <c r="M3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25</v>
      </c>
    </row>
    <row r="342" spans="1:13" x14ac:dyDescent="0.25">
      <c r="A342" t="s">
        <v>9</v>
      </c>
      <c r="B342" t="s">
        <v>5</v>
      </c>
      <c r="C342" t="s">
        <v>14</v>
      </c>
      <c r="D342" t="s">
        <v>12</v>
      </c>
      <c r="E342" t="s">
        <v>4</v>
      </c>
      <c r="F342">
        <v>58</v>
      </c>
      <c r="G342">
        <v>61</v>
      </c>
      <c r="H342">
        <v>52</v>
      </c>
      <c r="I342" s="1">
        <f>AVERAGE(tblStudents[[#This Row],[Math Score]],tblStudents[[#This Row],[Reading Score]],tblStudents[[#This Row],[Writing Score]])</f>
        <v>57</v>
      </c>
      <c r="J342">
        <f>IF(tblStudents[[#This Row],[Average Score]]&gt;=60,1,0)</f>
        <v>0</v>
      </c>
      <c r="K342" t="str">
        <f>IF(tblStudents[[#This Row],[Average Score]]&gt;=60,"Pass","At Risk")</f>
        <v>At Risk</v>
      </c>
      <c r="L342" t="str" cm="1">
        <f t="array" ref="L342">_xlfn.IFS(tblStudents[[#This Row],[Average Score]]&gt;=80,"High",tblStudents[[#This Row],[Average Score]]&gt;=60,"Meets Standard",TRUE,"At Risk")</f>
        <v>At Risk</v>
      </c>
      <c r="M3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43" spans="1:13" x14ac:dyDescent="0.25">
      <c r="A343" t="s">
        <v>0</v>
      </c>
      <c r="B343" t="s">
        <v>5</v>
      </c>
      <c r="C343" t="s">
        <v>14</v>
      </c>
      <c r="D343" t="s">
        <v>3</v>
      </c>
      <c r="E343" t="s">
        <v>4</v>
      </c>
      <c r="F343">
        <v>61</v>
      </c>
      <c r="G343">
        <v>73</v>
      </c>
      <c r="H343">
        <v>63</v>
      </c>
      <c r="I343" s="1">
        <f>AVERAGE(tblStudents[[#This Row],[Math Score]],tblStudents[[#This Row],[Reading Score]],tblStudents[[#This Row],[Writing Score]])</f>
        <v>65.666666666666671</v>
      </c>
      <c r="J343">
        <f>IF(tblStudents[[#This Row],[Average Score]]&gt;=60,1,0)</f>
        <v>1</v>
      </c>
      <c r="K343" t="str">
        <f>IF(tblStudents[[#This Row],[Average Score]]&gt;=60,"Pass","At Risk")</f>
        <v>Pass</v>
      </c>
      <c r="L343" t="str" cm="1">
        <f t="array" ref="L343">_xlfn.IFS(tblStudents[[#This Row],[Average Score]]&gt;=80,"High",tblStudents[[#This Row],[Average Score]]&gt;=60,"Meets Standard",TRUE,"At Risk")</f>
        <v>Meets Standard</v>
      </c>
      <c r="M3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44" spans="1:13" x14ac:dyDescent="0.25">
      <c r="A344" t="s">
        <v>0</v>
      </c>
      <c r="B344" t="s">
        <v>1</v>
      </c>
      <c r="C344" t="s">
        <v>14</v>
      </c>
      <c r="D344" t="s">
        <v>3</v>
      </c>
      <c r="E344" t="s">
        <v>7</v>
      </c>
      <c r="F344">
        <v>69</v>
      </c>
      <c r="G344">
        <v>76</v>
      </c>
      <c r="H344">
        <v>74</v>
      </c>
      <c r="I344" s="1">
        <f>AVERAGE(tblStudents[[#This Row],[Math Score]],tblStudents[[#This Row],[Reading Score]],tblStudents[[#This Row],[Writing Score]])</f>
        <v>73</v>
      </c>
      <c r="J344">
        <f>IF(tblStudents[[#This Row],[Average Score]]&gt;=60,1,0)</f>
        <v>1</v>
      </c>
      <c r="K344" t="str">
        <f>IF(tblStudents[[#This Row],[Average Score]]&gt;=60,"Pass","At Risk")</f>
        <v>Pass</v>
      </c>
      <c r="L344" t="str" cm="1">
        <f t="array" ref="L344">_xlfn.IFS(tblStudents[[#This Row],[Average Score]]&gt;=80,"High",tblStudents[[#This Row],[Average Score]]&gt;=60,"Meets Standard",TRUE,"At Risk")</f>
        <v>Meets Standard</v>
      </c>
      <c r="M3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45" spans="1:13" x14ac:dyDescent="0.25">
      <c r="A345" t="s">
        <v>9</v>
      </c>
      <c r="B345" t="s">
        <v>13</v>
      </c>
      <c r="C345" t="s">
        <v>11</v>
      </c>
      <c r="D345" t="s">
        <v>3</v>
      </c>
      <c r="E345" t="s">
        <v>7</v>
      </c>
      <c r="F345">
        <v>67</v>
      </c>
      <c r="G345">
        <v>72</v>
      </c>
      <c r="H345">
        <v>67</v>
      </c>
      <c r="I345" s="1">
        <f>AVERAGE(tblStudents[[#This Row],[Math Score]],tblStudents[[#This Row],[Reading Score]],tblStudents[[#This Row],[Writing Score]])</f>
        <v>68.666666666666671</v>
      </c>
      <c r="J345">
        <f>IF(tblStudents[[#This Row],[Average Score]]&gt;=60,1,0)</f>
        <v>1</v>
      </c>
      <c r="K345" t="str">
        <f>IF(tblStudents[[#This Row],[Average Score]]&gt;=60,"Pass","At Risk")</f>
        <v>Pass</v>
      </c>
      <c r="L345" t="str" cm="1">
        <f t="array" ref="L345">_xlfn.IFS(tblStudents[[#This Row],[Average Score]]&gt;=80,"High",tblStudents[[#This Row],[Average Score]]&gt;=60,"Meets Standard",TRUE,"At Risk")</f>
        <v>Meets Standard</v>
      </c>
      <c r="M3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46" spans="1:13" x14ac:dyDescent="0.25">
      <c r="A346" t="s">
        <v>9</v>
      </c>
      <c r="B346" t="s">
        <v>13</v>
      </c>
      <c r="C346" t="s">
        <v>6</v>
      </c>
      <c r="D346" t="s">
        <v>3</v>
      </c>
      <c r="E346" t="s">
        <v>4</v>
      </c>
      <c r="F346">
        <v>79</v>
      </c>
      <c r="G346">
        <v>73</v>
      </c>
      <c r="H346">
        <v>67</v>
      </c>
      <c r="I346" s="1">
        <f>AVERAGE(tblStudents[[#This Row],[Math Score]],tblStudents[[#This Row],[Reading Score]],tblStudents[[#This Row],[Writing Score]])</f>
        <v>73</v>
      </c>
      <c r="J346">
        <f>IF(tblStudents[[#This Row],[Average Score]]&gt;=60,1,0)</f>
        <v>1</v>
      </c>
      <c r="K346" t="str">
        <f>IF(tblStudents[[#This Row],[Average Score]]&gt;=60,"Pass","At Risk")</f>
        <v>Pass</v>
      </c>
      <c r="L346" t="str" cm="1">
        <f t="array" ref="L346">_xlfn.IFS(tblStudents[[#This Row],[Average Score]]&gt;=80,"High",tblStudents[[#This Row],[Average Score]]&gt;=60,"Meets Standard",TRUE,"At Risk")</f>
        <v>Meets Standard</v>
      </c>
      <c r="M3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47" spans="1:13" x14ac:dyDescent="0.25">
      <c r="A347" t="s">
        <v>0</v>
      </c>
      <c r="B347" t="s">
        <v>5</v>
      </c>
      <c r="C347" t="s">
        <v>14</v>
      </c>
      <c r="D347" t="s">
        <v>3</v>
      </c>
      <c r="E347" t="s">
        <v>4</v>
      </c>
      <c r="F347">
        <v>72</v>
      </c>
      <c r="G347">
        <v>80</v>
      </c>
      <c r="H347">
        <v>75</v>
      </c>
      <c r="I347" s="1">
        <f>AVERAGE(tblStudents[[#This Row],[Math Score]],tblStudents[[#This Row],[Reading Score]],tblStudents[[#This Row],[Writing Score]])</f>
        <v>75.666666666666671</v>
      </c>
      <c r="J347">
        <f>IF(tblStudents[[#This Row],[Average Score]]&gt;=60,1,0)</f>
        <v>1</v>
      </c>
      <c r="K347" t="str">
        <f>IF(tblStudents[[#This Row],[Average Score]]&gt;=60,"Pass","At Risk")</f>
        <v>Pass</v>
      </c>
      <c r="L347" t="str" cm="1">
        <f t="array" ref="L347">_xlfn.IFS(tblStudents[[#This Row],[Average Score]]&gt;=80,"High",tblStudents[[#This Row],[Average Score]]&gt;=60,"Meets Standard",TRUE,"At Risk")</f>
        <v>Meets Standard</v>
      </c>
      <c r="M3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348" spans="1:13" x14ac:dyDescent="0.25">
      <c r="A348" t="s">
        <v>9</v>
      </c>
      <c r="B348" t="s">
        <v>1</v>
      </c>
      <c r="C348" t="s">
        <v>6</v>
      </c>
      <c r="D348" t="s">
        <v>3</v>
      </c>
      <c r="E348" t="s">
        <v>4</v>
      </c>
      <c r="F348">
        <v>62</v>
      </c>
      <c r="G348">
        <v>61</v>
      </c>
      <c r="H348">
        <v>57</v>
      </c>
      <c r="I348" s="1">
        <f>AVERAGE(tblStudents[[#This Row],[Math Score]],tblStudents[[#This Row],[Reading Score]],tblStudents[[#This Row],[Writing Score]])</f>
        <v>60</v>
      </c>
      <c r="J348">
        <f>IF(tblStudents[[#This Row],[Average Score]]&gt;=60,1,0)</f>
        <v>1</v>
      </c>
      <c r="K348" t="str">
        <f>IF(tblStudents[[#This Row],[Average Score]]&gt;=60,"Pass","At Risk")</f>
        <v>Pass</v>
      </c>
      <c r="L348" t="str" cm="1">
        <f t="array" ref="L348">_xlfn.IFS(tblStudents[[#This Row],[Average Score]]&gt;=80,"High",tblStudents[[#This Row],[Average Score]]&gt;=60,"Meets Standard",TRUE,"At Risk")</f>
        <v>Meets Standard</v>
      </c>
      <c r="M3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49" spans="1:13" x14ac:dyDescent="0.25">
      <c r="A349" t="s">
        <v>0</v>
      </c>
      <c r="B349" t="s">
        <v>5</v>
      </c>
      <c r="C349" t="s">
        <v>2</v>
      </c>
      <c r="D349" t="s">
        <v>3</v>
      </c>
      <c r="E349" t="s">
        <v>7</v>
      </c>
      <c r="F349">
        <v>77</v>
      </c>
      <c r="G349">
        <v>94</v>
      </c>
      <c r="H349">
        <v>95</v>
      </c>
      <c r="I349" s="1">
        <f>AVERAGE(tblStudents[[#This Row],[Math Score]],tblStudents[[#This Row],[Reading Score]],tblStudents[[#This Row],[Writing Score]])</f>
        <v>88.666666666666671</v>
      </c>
      <c r="J349">
        <f>IF(tblStudents[[#This Row],[Average Score]]&gt;=60,1,0)</f>
        <v>1</v>
      </c>
      <c r="K349" t="str">
        <f>IF(tblStudents[[#This Row],[Average Score]]&gt;=60,"Pass","At Risk")</f>
        <v>Pass</v>
      </c>
      <c r="L349" t="str" cm="1">
        <f t="array" ref="L349">_xlfn.IFS(tblStudents[[#This Row],[Average Score]]&gt;=80,"High",tblStudents[[#This Row],[Average Score]]&gt;=60,"Meets Standard",TRUE,"At Risk")</f>
        <v>High</v>
      </c>
      <c r="M3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350" spans="1:13" x14ac:dyDescent="0.25">
      <c r="A350" t="s">
        <v>9</v>
      </c>
      <c r="B350" t="s">
        <v>13</v>
      </c>
      <c r="C350" t="s">
        <v>14</v>
      </c>
      <c r="D350" t="s">
        <v>12</v>
      </c>
      <c r="E350" t="s">
        <v>4</v>
      </c>
      <c r="F350">
        <v>75</v>
      </c>
      <c r="G350">
        <v>74</v>
      </c>
      <c r="H350">
        <v>66</v>
      </c>
      <c r="I350" s="1">
        <f>AVERAGE(tblStudents[[#This Row],[Math Score]],tblStudents[[#This Row],[Reading Score]],tblStudents[[#This Row],[Writing Score]])</f>
        <v>71.666666666666671</v>
      </c>
      <c r="J350">
        <f>IF(tblStudents[[#This Row],[Average Score]]&gt;=60,1,0)</f>
        <v>1</v>
      </c>
      <c r="K350" t="str">
        <f>IF(tblStudents[[#This Row],[Average Score]]&gt;=60,"Pass","At Risk")</f>
        <v>Pass</v>
      </c>
      <c r="L350" t="str" cm="1">
        <f t="array" ref="L350">_xlfn.IFS(tblStudents[[#This Row],[Average Score]]&gt;=80,"High",tblStudents[[#This Row],[Average Score]]&gt;=60,"Meets Standard",TRUE,"At Risk")</f>
        <v>Meets Standard</v>
      </c>
      <c r="M3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51" spans="1:13" x14ac:dyDescent="0.25">
      <c r="A351" t="s">
        <v>9</v>
      </c>
      <c r="B351" t="s">
        <v>16</v>
      </c>
      <c r="C351" t="s">
        <v>11</v>
      </c>
      <c r="D351" t="s">
        <v>3</v>
      </c>
      <c r="E351" t="s">
        <v>4</v>
      </c>
      <c r="F351">
        <v>87</v>
      </c>
      <c r="G351">
        <v>74</v>
      </c>
      <c r="H351">
        <v>76</v>
      </c>
      <c r="I351" s="1">
        <f>AVERAGE(tblStudents[[#This Row],[Math Score]],tblStudents[[#This Row],[Reading Score]],tblStudents[[#This Row],[Writing Score]])</f>
        <v>79</v>
      </c>
      <c r="J351">
        <f>IF(tblStudents[[#This Row],[Average Score]]&gt;=60,1,0)</f>
        <v>1</v>
      </c>
      <c r="K351" t="str">
        <f>IF(tblStudents[[#This Row],[Average Score]]&gt;=60,"Pass","At Risk")</f>
        <v>Pass</v>
      </c>
      <c r="L351" t="str" cm="1">
        <f t="array" ref="L351">_xlfn.IFS(tblStudents[[#This Row],[Average Score]]&gt;=80,"High",tblStudents[[#This Row],[Average Score]]&gt;=60,"Meets Standard",TRUE,"At Risk")</f>
        <v>Meets Standard</v>
      </c>
      <c r="M3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352" spans="1:13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>
        <v>52</v>
      </c>
      <c r="G352">
        <v>65</v>
      </c>
      <c r="H352">
        <v>69</v>
      </c>
      <c r="I352" s="1">
        <f>AVERAGE(tblStudents[[#This Row],[Math Score]],tblStudents[[#This Row],[Reading Score]],tblStudents[[#This Row],[Writing Score]])</f>
        <v>62</v>
      </c>
      <c r="J352">
        <f>IF(tblStudents[[#This Row],[Average Score]]&gt;=60,1,0)</f>
        <v>1</v>
      </c>
      <c r="K352" t="str">
        <f>IF(tblStudents[[#This Row],[Average Score]]&gt;=60,"Pass","At Risk")</f>
        <v>Pass</v>
      </c>
      <c r="L352" t="str" cm="1">
        <f t="array" ref="L352">_xlfn.IFS(tblStudents[[#This Row],[Average Score]]&gt;=80,"High",tblStudents[[#This Row],[Average Score]]&gt;=60,"Meets Standard",TRUE,"At Risk")</f>
        <v>Meets Standard</v>
      </c>
      <c r="M3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353" spans="1:13" x14ac:dyDescent="0.25">
      <c r="A353" t="s">
        <v>9</v>
      </c>
      <c r="B353" t="s">
        <v>16</v>
      </c>
      <c r="C353" t="s">
        <v>6</v>
      </c>
      <c r="D353" t="s">
        <v>3</v>
      </c>
      <c r="E353" t="s">
        <v>4</v>
      </c>
      <c r="F353">
        <v>66</v>
      </c>
      <c r="G353">
        <v>57</v>
      </c>
      <c r="H353">
        <v>52</v>
      </c>
      <c r="I353" s="1">
        <f>AVERAGE(tblStudents[[#This Row],[Math Score]],tblStudents[[#This Row],[Reading Score]],tblStudents[[#This Row],[Writing Score]])</f>
        <v>58.333333333333336</v>
      </c>
      <c r="J353">
        <f>IF(tblStudents[[#This Row],[Average Score]]&gt;=60,1,0)</f>
        <v>0</v>
      </c>
      <c r="K353" t="str">
        <f>IF(tblStudents[[#This Row],[Average Score]]&gt;=60,"Pass","At Risk")</f>
        <v>At Risk</v>
      </c>
      <c r="L353" t="str" cm="1">
        <f t="array" ref="L353">_xlfn.IFS(tblStudents[[#This Row],[Average Score]]&gt;=80,"High",tblStudents[[#This Row],[Average Score]]&gt;=60,"Meets Standard",TRUE,"At Risk")</f>
        <v>At Risk</v>
      </c>
      <c r="M3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354" spans="1:13" x14ac:dyDescent="0.25">
      <c r="A354" t="s">
        <v>0</v>
      </c>
      <c r="B354" t="s">
        <v>5</v>
      </c>
      <c r="C354" t="s">
        <v>6</v>
      </c>
      <c r="D354" t="s">
        <v>3</v>
      </c>
      <c r="E354" t="s">
        <v>7</v>
      </c>
      <c r="F354">
        <v>63</v>
      </c>
      <c r="G354">
        <v>78</v>
      </c>
      <c r="H354">
        <v>80</v>
      </c>
      <c r="I354" s="1">
        <f>AVERAGE(tblStudents[[#This Row],[Math Score]],tblStudents[[#This Row],[Reading Score]],tblStudents[[#This Row],[Writing Score]])</f>
        <v>73.666666666666671</v>
      </c>
      <c r="J354">
        <f>IF(tblStudents[[#This Row],[Average Score]]&gt;=60,1,0)</f>
        <v>1</v>
      </c>
      <c r="K354" t="str">
        <f>IF(tblStudents[[#This Row],[Average Score]]&gt;=60,"Pass","At Risk")</f>
        <v>Pass</v>
      </c>
      <c r="L354" t="str" cm="1">
        <f t="array" ref="L354">_xlfn.IFS(tblStudents[[#This Row],[Average Score]]&gt;=80,"High",tblStudents[[#This Row],[Average Score]]&gt;=60,"Meets Standard",TRUE,"At Risk")</f>
        <v>Meets Standard</v>
      </c>
      <c r="M3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355" spans="1:13" x14ac:dyDescent="0.25">
      <c r="A355" t="s">
        <v>0</v>
      </c>
      <c r="B355" t="s">
        <v>5</v>
      </c>
      <c r="C355" t="s">
        <v>11</v>
      </c>
      <c r="D355" t="s">
        <v>3</v>
      </c>
      <c r="E355" t="s">
        <v>4</v>
      </c>
      <c r="F355">
        <v>46</v>
      </c>
      <c r="G355">
        <v>58</v>
      </c>
      <c r="H355">
        <v>57</v>
      </c>
      <c r="I355" s="1">
        <f>AVERAGE(tblStudents[[#This Row],[Math Score]],tblStudents[[#This Row],[Reading Score]],tblStudents[[#This Row],[Writing Score]])</f>
        <v>53.666666666666664</v>
      </c>
      <c r="J355">
        <f>IF(tblStudents[[#This Row],[Average Score]]&gt;=60,1,0)</f>
        <v>0</v>
      </c>
      <c r="K355" t="str">
        <f>IF(tblStudents[[#This Row],[Average Score]]&gt;=60,"Pass","At Risk")</f>
        <v>At Risk</v>
      </c>
      <c r="L355" t="str" cm="1">
        <f t="array" ref="L355">_xlfn.IFS(tblStudents[[#This Row],[Average Score]]&gt;=80,"High",tblStudents[[#This Row],[Average Score]]&gt;=60,"Meets Standard",TRUE,"At Risk")</f>
        <v>At Risk</v>
      </c>
      <c r="M3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56" spans="1:13" x14ac:dyDescent="0.25">
      <c r="A356" t="s">
        <v>0</v>
      </c>
      <c r="B356" t="s">
        <v>5</v>
      </c>
      <c r="C356" t="s">
        <v>6</v>
      </c>
      <c r="D356" t="s">
        <v>3</v>
      </c>
      <c r="E356" t="s">
        <v>4</v>
      </c>
      <c r="F356">
        <v>59</v>
      </c>
      <c r="G356">
        <v>71</v>
      </c>
      <c r="H356">
        <v>70</v>
      </c>
      <c r="I356" s="1">
        <f>AVERAGE(tblStudents[[#This Row],[Math Score]],tblStudents[[#This Row],[Reading Score]],tblStudents[[#This Row],[Writing Score]])</f>
        <v>66.666666666666671</v>
      </c>
      <c r="J356">
        <f>IF(tblStudents[[#This Row],[Average Score]]&gt;=60,1,0)</f>
        <v>1</v>
      </c>
      <c r="K356" t="str">
        <f>IF(tblStudents[[#This Row],[Average Score]]&gt;=60,"Pass","At Risk")</f>
        <v>Pass</v>
      </c>
      <c r="L356" t="str" cm="1">
        <f t="array" ref="L356">_xlfn.IFS(tblStudents[[#This Row],[Average Score]]&gt;=80,"High",tblStudents[[#This Row],[Average Score]]&gt;=60,"Meets Standard",TRUE,"At Risk")</f>
        <v>Meets Standard</v>
      </c>
      <c r="M3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57" spans="1:13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>
        <v>61</v>
      </c>
      <c r="G357">
        <v>72</v>
      </c>
      <c r="H357">
        <v>70</v>
      </c>
      <c r="I357" s="1">
        <f>AVERAGE(tblStudents[[#This Row],[Math Score]],tblStudents[[#This Row],[Reading Score]],tblStudents[[#This Row],[Writing Score]])</f>
        <v>67.666666666666671</v>
      </c>
      <c r="J357">
        <f>IF(tblStudents[[#This Row],[Average Score]]&gt;=60,1,0)</f>
        <v>1</v>
      </c>
      <c r="K357" t="str">
        <f>IF(tblStudents[[#This Row],[Average Score]]&gt;=60,"Pass","At Risk")</f>
        <v>Pass</v>
      </c>
      <c r="L357" t="str" cm="1">
        <f t="array" ref="L357">_xlfn.IFS(tblStudents[[#This Row],[Average Score]]&gt;=80,"High",tblStudents[[#This Row],[Average Score]]&gt;=60,"Meets Standard",TRUE,"At Risk")</f>
        <v>Meets Standard</v>
      </c>
      <c r="M3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358" spans="1:13" x14ac:dyDescent="0.25">
      <c r="A358" t="s">
        <v>9</v>
      </c>
      <c r="B358" t="s">
        <v>10</v>
      </c>
      <c r="C358" t="s">
        <v>11</v>
      </c>
      <c r="D358" t="s">
        <v>3</v>
      </c>
      <c r="E358" t="s">
        <v>4</v>
      </c>
      <c r="F358">
        <v>63</v>
      </c>
      <c r="G358">
        <v>61</v>
      </c>
      <c r="H358">
        <v>61</v>
      </c>
      <c r="I358" s="1">
        <f>AVERAGE(tblStudents[[#This Row],[Math Score]],tblStudents[[#This Row],[Reading Score]],tblStudents[[#This Row],[Writing Score]])</f>
        <v>61.666666666666664</v>
      </c>
      <c r="J358">
        <f>IF(tblStudents[[#This Row],[Average Score]]&gt;=60,1,0)</f>
        <v>1</v>
      </c>
      <c r="K358" t="str">
        <f>IF(tblStudents[[#This Row],[Average Score]]&gt;=60,"Pass","At Risk")</f>
        <v>Pass</v>
      </c>
      <c r="L358" t="str" cm="1">
        <f t="array" ref="L358">_xlfn.IFS(tblStudents[[#This Row],[Average Score]]&gt;=80,"High",tblStudents[[#This Row],[Average Score]]&gt;=60,"Meets Standard",TRUE,"At Risk")</f>
        <v>Meets Standard</v>
      </c>
      <c r="M3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59" spans="1:13" x14ac:dyDescent="0.25">
      <c r="A359" t="s">
        <v>0</v>
      </c>
      <c r="B359" t="s">
        <v>5</v>
      </c>
      <c r="C359" t="s">
        <v>6</v>
      </c>
      <c r="D359" t="s">
        <v>12</v>
      </c>
      <c r="E359" t="s">
        <v>7</v>
      </c>
      <c r="F359">
        <v>42</v>
      </c>
      <c r="G359">
        <v>66</v>
      </c>
      <c r="H359">
        <v>69</v>
      </c>
      <c r="I359" s="1">
        <f>AVERAGE(tblStudents[[#This Row],[Math Score]],tblStudents[[#This Row],[Reading Score]],tblStudents[[#This Row],[Writing Score]])</f>
        <v>59</v>
      </c>
      <c r="J359">
        <f>IF(tblStudents[[#This Row],[Average Score]]&gt;=60,1,0)</f>
        <v>0</v>
      </c>
      <c r="K359" t="str">
        <f>IF(tblStudents[[#This Row],[Average Score]]&gt;=60,"Pass","At Risk")</f>
        <v>At Risk</v>
      </c>
      <c r="L359" t="str" cm="1">
        <f t="array" ref="L359">_xlfn.IFS(tblStudents[[#This Row],[Average Score]]&gt;=80,"High",tblStudents[[#This Row],[Average Score]]&gt;=60,"Meets Standard",TRUE,"At Risk")</f>
        <v>At Risk</v>
      </c>
      <c r="M3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27</v>
      </c>
    </row>
    <row r="360" spans="1:13" x14ac:dyDescent="0.25">
      <c r="A360" t="s">
        <v>9</v>
      </c>
      <c r="B360" t="s">
        <v>13</v>
      </c>
      <c r="C360" t="s">
        <v>6</v>
      </c>
      <c r="D360" t="s">
        <v>12</v>
      </c>
      <c r="E360" t="s">
        <v>4</v>
      </c>
      <c r="F360">
        <v>59</v>
      </c>
      <c r="G360">
        <v>62</v>
      </c>
      <c r="H360">
        <v>61</v>
      </c>
      <c r="I360" s="1">
        <f>AVERAGE(tblStudents[[#This Row],[Math Score]],tblStudents[[#This Row],[Reading Score]],tblStudents[[#This Row],[Writing Score]])</f>
        <v>60.666666666666664</v>
      </c>
      <c r="J360">
        <f>IF(tblStudents[[#This Row],[Average Score]]&gt;=60,1,0)</f>
        <v>1</v>
      </c>
      <c r="K360" t="str">
        <f>IF(tblStudents[[#This Row],[Average Score]]&gt;=60,"Pass","At Risk")</f>
        <v>Pass</v>
      </c>
      <c r="L360" t="str" cm="1">
        <f t="array" ref="L360">_xlfn.IFS(tblStudents[[#This Row],[Average Score]]&gt;=80,"High",tblStudents[[#This Row],[Average Score]]&gt;=60,"Meets Standard",TRUE,"At Risk")</f>
        <v>Meets Standard</v>
      </c>
      <c r="M3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361" spans="1:13" x14ac:dyDescent="0.25">
      <c r="A361" t="s">
        <v>0</v>
      </c>
      <c r="B361" t="s">
        <v>13</v>
      </c>
      <c r="C361" t="s">
        <v>6</v>
      </c>
      <c r="D361" t="s">
        <v>3</v>
      </c>
      <c r="E361" t="s">
        <v>4</v>
      </c>
      <c r="F361">
        <v>80</v>
      </c>
      <c r="G361">
        <v>90</v>
      </c>
      <c r="H361">
        <v>89</v>
      </c>
      <c r="I361" s="1">
        <f>AVERAGE(tblStudents[[#This Row],[Math Score]],tblStudents[[#This Row],[Reading Score]],tblStudents[[#This Row],[Writing Score]])</f>
        <v>86.333333333333329</v>
      </c>
      <c r="J361">
        <f>IF(tblStudents[[#This Row],[Average Score]]&gt;=60,1,0)</f>
        <v>1</v>
      </c>
      <c r="K361" t="str">
        <f>IF(tblStudents[[#This Row],[Average Score]]&gt;=60,"Pass","At Risk")</f>
        <v>Pass</v>
      </c>
      <c r="L361" t="str" cm="1">
        <f t="array" ref="L361">_xlfn.IFS(tblStudents[[#This Row],[Average Score]]&gt;=80,"High",tblStudents[[#This Row],[Average Score]]&gt;=60,"Meets Standard",TRUE,"At Risk")</f>
        <v>High</v>
      </c>
      <c r="M3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362" spans="1:13" x14ac:dyDescent="0.25">
      <c r="A362" t="s">
        <v>0</v>
      </c>
      <c r="B362" t="s">
        <v>1</v>
      </c>
      <c r="C362" t="s">
        <v>14</v>
      </c>
      <c r="D362" t="s">
        <v>3</v>
      </c>
      <c r="E362" t="s">
        <v>4</v>
      </c>
      <c r="F362">
        <v>58</v>
      </c>
      <c r="G362">
        <v>62</v>
      </c>
      <c r="H362">
        <v>59</v>
      </c>
      <c r="I362" s="1">
        <f>AVERAGE(tblStudents[[#This Row],[Math Score]],tblStudents[[#This Row],[Reading Score]],tblStudents[[#This Row],[Writing Score]])</f>
        <v>59.666666666666664</v>
      </c>
      <c r="J362">
        <f>IF(tblStudents[[#This Row],[Average Score]]&gt;=60,1,0)</f>
        <v>0</v>
      </c>
      <c r="K362" t="str">
        <f>IF(tblStudents[[#This Row],[Average Score]]&gt;=60,"Pass","At Risk")</f>
        <v>At Risk</v>
      </c>
      <c r="L362" t="str" cm="1">
        <f t="array" ref="L362">_xlfn.IFS(tblStudents[[#This Row],[Average Score]]&gt;=80,"High",tblStudents[[#This Row],[Average Score]]&gt;=60,"Meets Standard",TRUE,"At Risk")</f>
        <v>At Risk</v>
      </c>
      <c r="M3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363" spans="1:13" x14ac:dyDescent="0.25">
      <c r="A363" t="s">
        <v>9</v>
      </c>
      <c r="B363" t="s">
        <v>1</v>
      </c>
      <c r="C363" t="s">
        <v>15</v>
      </c>
      <c r="D363" t="s">
        <v>3</v>
      </c>
      <c r="E363" t="s">
        <v>7</v>
      </c>
      <c r="F363">
        <v>85</v>
      </c>
      <c r="G363">
        <v>84</v>
      </c>
      <c r="H363">
        <v>78</v>
      </c>
      <c r="I363" s="1">
        <f>AVERAGE(tblStudents[[#This Row],[Math Score]],tblStudents[[#This Row],[Reading Score]],tblStudents[[#This Row],[Writing Score]])</f>
        <v>82.333333333333329</v>
      </c>
      <c r="J363">
        <f>IF(tblStudents[[#This Row],[Average Score]]&gt;=60,1,0)</f>
        <v>1</v>
      </c>
      <c r="K363" t="str">
        <f>IF(tblStudents[[#This Row],[Average Score]]&gt;=60,"Pass","At Risk")</f>
        <v>Pass</v>
      </c>
      <c r="L363" t="str" cm="1">
        <f t="array" ref="L363">_xlfn.IFS(tblStudents[[#This Row],[Average Score]]&gt;=80,"High",tblStudents[[#This Row],[Average Score]]&gt;=60,"Meets Standard",TRUE,"At Risk")</f>
        <v>High</v>
      </c>
      <c r="M3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64" spans="1:13" x14ac:dyDescent="0.25">
      <c r="A364" t="s">
        <v>0</v>
      </c>
      <c r="B364" t="s">
        <v>5</v>
      </c>
      <c r="C364" t="s">
        <v>6</v>
      </c>
      <c r="D364" t="s">
        <v>3</v>
      </c>
      <c r="E364" t="s">
        <v>4</v>
      </c>
      <c r="F364">
        <v>52</v>
      </c>
      <c r="G364">
        <v>58</v>
      </c>
      <c r="H364">
        <v>58</v>
      </c>
      <c r="I364" s="1">
        <f>AVERAGE(tblStudents[[#This Row],[Math Score]],tblStudents[[#This Row],[Reading Score]],tblStudents[[#This Row],[Writing Score]])</f>
        <v>56</v>
      </c>
      <c r="J364">
        <f>IF(tblStudents[[#This Row],[Average Score]]&gt;=60,1,0)</f>
        <v>0</v>
      </c>
      <c r="K364" t="str">
        <f>IF(tblStudents[[#This Row],[Average Score]]&gt;=60,"Pass","At Risk")</f>
        <v>At Risk</v>
      </c>
      <c r="L364" t="str" cm="1">
        <f t="array" ref="L364">_xlfn.IFS(tblStudents[[#This Row],[Average Score]]&gt;=80,"High",tblStudents[[#This Row],[Average Score]]&gt;=60,"Meets Standard",TRUE,"At Risk")</f>
        <v>At Risk</v>
      </c>
      <c r="M3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365" spans="1:13" x14ac:dyDescent="0.25">
      <c r="A365" t="s">
        <v>0</v>
      </c>
      <c r="B365" t="s">
        <v>13</v>
      </c>
      <c r="C365" t="s">
        <v>15</v>
      </c>
      <c r="D365" t="s">
        <v>12</v>
      </c>
      <c r="E365" t="s">
        <v>4</v>
      </c>
      <c r="F365">
        <v>27</v>
      </c>
      <c r="G365">
        <v>34</v>
      </c>
      <c r="H365">
        <v>32</v>
      </c>
      <c r="I365" s="1">
        <f>AVERAGE(tblStudents[[#This Row],[Math Score]],tblStudents[[#This Row],[Reading Score]],tblStudents[[#This Row],[Writing Score]])</f>
        <v>31</v>
      </c>
      <c r="J365">
        <f>IF(tblStudents[[#This Row],[Average Score]]&gt;=60,1,0)</f>
        <v>0</v>
      </c>
      <c r="K365" t="str">
        <f>IF(tblStudents[[#This Row],[Average Score]]&gt;=60,"Pass","At Risk")</f>
        <v>At Risk</v>
      </c>
      <c r="L365" t="str" cm="1">
        <f t="array" ref="L365">_xlfn.IFS(tblStudents[[#This Row],[Average Score]]&gt;=80,"High",tblStudents[[#This Row],[Average Score]]&gt;=60,"Meets Standard",TRUE,"At Risk")</f>
        <v>At Risk</v>
      </c>
      <c r="M3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66" spans="1:13" x14ac:dyDescent="0.25">
      <c r="A366" t="s">
        <v>9</v>
      </c>
      <c r="B366" t="s">
        <v>5</v>
      </c>
      <c r="C366" t="s">
        <v>6</v>
      </c>
      <c r="D366" t="s">
        <v>3</v>
      </c>
      <c r="E366" t="s">
        <v>4</v>
      </c>
      <c r="F366">
        <v>59</v>
      </c>
      <c r="G366">
        <v>60</v>
      </c>
      <c r="H366">
        <v>58</v>
      </c>
      <c r="I366" s="1">
        <f>AVERAGE(tblStudents[[#This Row],[Math Score]],tblStudents[[#This Row],[Reading Score]],tblStudents[[#This Row],[Writing Score]])</f>
        <v>59</v>
      </c>
      <c r="J366">
        <f>IF(tblStudents[[#This Row],[Average Score]]&gt;=60,1,0)</f>
        <v>0</v>
      </c>
      <c r="K366" t="str">
        <f>IF(tblStudents[[#This Row],[Average Score]]&gt;=60,"Pass","At Risk")</f>
        <v>At Risk</v>
      </c>
      <c r="L366" t="str" cm="1">
        <f t="array" ref="L366">_xlfn.IFS(tblStudents[[#This Row],[Average Score]]&gt;=80,"High",tblStudents[[#This Row],[Average Score]]&gt;=60,"Meets Standard",TRUE,"At Risk")</f>
        <v>At Risk</v>
      </c>
      <c r="M3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67" spans="1:13" x14ac:dyDescent="0.25">
      <c r="A367" t="s">
        <v>9</v>
      </c>
      <c r="B367" t="s">
        <v>10</v>
      </c>
      <c r="C367" t="s">
        <v>2</v>
      </c>
      <c r="D367" t="s">
        <v>12</v>
      </c>
      <c r="E367" t="s">
        <v>7</v>
      </c>
      <c r="F367">
        <v>49</v>
      </c>
      <c r="G367">
        <v>58</v>
      </c>
      <c r="H367">
        <v>60</v>
      </c>
      <c r="I367" s="1">
        <f>AVERAGE(tblStudents[[#This Row],[Math Score]],tblStudents[[#This Row],[Reading Score]],tblStudents[[#This Row],[Writing Score]])</f>
        <v>55.666666666666664</v>
      </c>
      <c r="J367">
        <f>IF(tblStudents[[#This Row],[Average Score]]&gt;=60,1,0)</f>
        <v>0</v>
      </c>
      <c r="K367" t="str">
        <f>IF(tblStudents[[#This Row],[Average Score]]&gt;=60,"Pass","At Risk")</f>
        <v>At Risk</v>
      </c>
      <c r="L367" t="str" cm="1">
        <f t="array" ref="L367">_xlfn.IFS(tblStudents[[#This Row],[Average Score]]&gt;=80,"High",tblStudents[[#This Row],[Average Score]]&gt;=60,"Meets Standard",TRUE,"At Risk")</f>
        <v>At Risk</v>
      </c>
      <c r="M3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368" spans="1:13" x14ac:dyDescent="0.25">
      <c r="A368" t="s">
        <v>9</v>
      </c>
      <c r="B368" t="s">
        <v>5</v>
      </c>
      <c r="C368" t="s">
        <v>14</v>
      </c>
      <c r="D368" t="s">
        <v>3</v>
      </c>
      <c r="E368" t="s">
        <v>7</v>
      </c>
      <c r="F368">
        <v>69</v>
      </c>
      <c r="G368">
        <v>58</v>
      </c>
      <c r="H368">
        <v>53</v>
      </c>
      <c r="I368" s="1">
        <f>AVERAGE(tblStudents[[#This Row],[Math Score]],tblStudents[[#This Row],[Reading Score]],tblStudents[[#This Row],[Writing Score]])</f>
        <v>60</v>
      </c>
      <c r="J368">
        <f>IF(tblStudents[[#This Row],[Average Score]]&gt;=60,1,0)</f>
        <v>1</v>
      </c>
      <c r="K368" t="str">
        <f>IF(tblStudents[[#This Row],[Average Score]]&gt;=60,"Pass","At Risk")</f>
        <v>Pass</v>
      </c>
      <c r="L368" t="str" cm="1">
        <f t="array" ref="L368">_xlfn.IFS(tblStudents[[#This Row],[Average Score]]&gt;=80,"High",tblStudents[[#This Row],[Average Score]]&gt;=60,"Meets Standard",TRUE,"At Risk")</f>
        <v>Meets Standard</v>
      </c>
      <c r="M3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369" spans="1:13" x14ac:dyDescent="0.25">
      <c r="A369" t="s">
        <v>9</v>
      </c>
      <c r="B369" t="s">
        <v>5</v>
      </c>
      <c r="C369" t="s">
        <v>2</v>
      </c>
      <c r="D369" t="s">
        <v>12</v>
      </c>
      <c r="E369" t="s">
        <v>4</v>
      </c>
      <c r="F369">
        <v>61</v>
      </c>
      <c r="G369">
        <v>66</v>
      </c>
      <c r="H369">
        <v>61</v>
      </c>
      <c r="I369" s="1">
        <f>AVERAGE(tblStudents[[#This Row],[Math Score]],tblStudents[[#This Row],[Reading Score]],tblStudents[[#This Row],[Writing Score]])</f>
        <v>62.666666666666664</v>
      </c>
      <c r="J369">
        <f>IF(tblStudents[[#This Row],[Average Score]]&gt;=60,1,0)</f>
        <v>1</v>
      </c>
      <c r="K369" t="str">
        <f>IF(tblStudents[[#This Row],[Average Score]]&gt;=60,"Pass","At Risk")</f>
        <v>Pass</v>
      </c>
      <c r="L369" t="str" cm="1">
        <f t="array" ref="L369">_xlfn.IFS(tblStudents[[#This Row],[Average Score]]&gt;=80,"High",tblStudents[[#This Row],[Average Score]]&gt;=60,"Meets Standard",TRUE,"At Risk")</f>
        <v>Meets Standard</v>
      </c>
      <c r="M3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70" spans="1:13" x14ac:dyDescent="0.25">
      <c r="A370" t="s">
        <v>0</v>
      </c>
      <c r="B370" t="s">
        <v>10</v>
      </c>
      <c r="C370" t="s">
        <v>15</v>
      </c>
      <c r="D370" t="s">
        <v>12</v>
      </c>
      <c r="E370" t="s">
        <v>4</v>
      </c>
      <c r="F370">
        <v>44</v>
      </c>
      <c r="G370">
        <v>64</v>
      </c>
      <c r="H370">
        <v>58</v>
      </c>
      <c r="I370" s="1">
        <f>AVERAGE(tblStudents[[#This Row],[Math Score]],tblStudents[[#This Row],[Reading Score]],tblStudents[[#This Row],[Writing Score]])</f>
        <v>55.333333333333336</v>
      </c>
      <c r="J370">
        <f>IF(tblStudents[[#This Row],[Average Score]]&gt;=60,1,0)</f>
        <v>0</v>
      </c>
      <c r="K370" t="str">
        <f>IF(tblStudents[[#This Row],[Average Score]]&gt;=60,"Pass","At Risk")</f>
        <v>At Risk</v>
      </c>
      <c r="L370" t="str" cm="1">
        <f t="array" ref="L370">_xlfn.IFS(tblStudents[[#This Row],[Average Score]]&gt;=80,"High",tblStudents[[#This Row],[Average Score]]&gt;=60,"Meets Standard",TRUE,"At Risk")</f>
        <v>At Risk</v>
      </c>
      <c r="M3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371" spans="1:13" x14ac:dyDescent="0.25">
      <c r="A371" t="s">
        <v>0</v>
      </c>
      <c r="B371" t="s">
        <v>13</v>
      </c>
      <c r="C371" t="s">
        <v>15</v>
      </c>
      <c r="D371" t="s">
        <v>3</v>
      </c>
      <c r="E371" t="s">
        <v>4</v>
      </c>
      <c r="F371">
        <v>73</v>
      </c>
      <c r="G371">
        <v>84</v>
      </c>
      <c r="H371">
        <v>85</v>
      </c>
      <c r="I371" s="1">
        <f>AVERAGE(tblStudents[[#This Row],[Math Score]],tblStudents[[#This Row],[Reading Score]],tblStudents[[#This Row],[Writing Score]])</f>
        <v>80.666666666666671</v>
      </c>
      <c r="J371">
        <f>IF(tblStudents[[#This Row],[Average Score]]&gt;=60,1,0)</f>
        <v>1</v>
      </c>
      <c r="K371" t="str">
        <f>IF(tblStudents[[#This Row],[Average Score]]&gt;=60,"Pass","At Risk")</f>
        <v>Pass</v>
      </c>
      <c r="L371" t="str" cm="1">
        <f t="array" ref="L371">_xlfn.IFS(tblStudents[[#This Row],[Average Score]]&gt;=80,"High",tblStudents[[#This Row],[Average Score]]&gt;=60,"Meets Standard",TRUE,"At Risk")</f>
        <v>High</v>
      </c>
      <c r="M3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72" spans="1:13" x14ac:dyDescent="0.25">
      <c r="A372" t="s">
        <v>9</v>
      </c>
      <c r="B372" t="s">
        <v>16</v>
      </c>
      <c r="C372" t="s">
        <v>6</v>
      </c>
      <c r="D372" t="s">
        <v>3</v>
      </c>
      <c r="E372" t="s">
        <v>4</v>
      </c>
      <c r="F372">
        <v>84</v>
      </c>
      <c r="G372">
        <v>77</v>
      </c>
      <c r="H372">
        <v>71</v>
      </c>
      <c r="I372" s="1">
        <f>AVERAGE(tblStudents[[#This Row],[Math Score]],tblStudents[[#This Row],[Reading Score]],tblStudents[[#This Row],[Writing Score]])</f>
        <v>77.333333333333329</v>
      </c>
      <c r="J372">
        <f>IF(tblStudents[[#This Row],[Average Score]]&gt;=60,1,0)</f>
        <v>1</v>
      </c>
      <c r="K372" t="str">
        <f>IF(tblStudents[[#This Row],[Average Score]]&gt;=60,"Pass","At Risk")</f>
        <v>Pass</v>
      </c>
      <c r="L372" t="str" cm="1">
        <f t="array" ref="L372">_xlfn.IFS(tblStudents[[#This Row],[Average Score]]&gt;=80,"High",tblStudents[[#This Row],[Average Score]]&gt;=60,"Meets Standard",TRUE,"At Risk")</f>
        <v>Meets Standard</v>
      </c>
      <c r="M3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373" spans="1:13" x14ac:dyDescent="0.25">
      <c r="A373" t="s">
        <v>0</v>
      </c>
      <c r="B373" t="s">
        <v>5</v>
      </c>
      <c r="C373" t="s">
        <v>6</v>
      </c>
      <c r="D373" t="s">
        <v>12</v>
      </c>
      <c r="E373" t="s">
        <v>7</v>
      </c>
      <c r="F373">
        <v>45</v>
      </c>
      <c r="G373">
        <v>73</v>
      </c>
      <c r="H373">
        <v>70</v>
      </c>
      <c r="I373" s="1">
        <f>AVERAGE(tblStudents[[#This Row],[Math Score]],tblStudents[[#This Row],[Reading Score]],tblStudents[[#This Row],[Writing Score]])</f>
        <v>62.666666666666664</v>
      </c>
      <c r="J373">
        <f>IF(tblStudents[[#This Row],[Average Score]]&gt;=60,1,0)</f>
        <v>1</v>
      </c>
      <c r="K373" t="str">
        <f>IF(tblStudents[[#This Row],[Average Score]]&gt;=60,"Pass","At Risk")</f>
        <v>Pass</v>
      </c>
      <c r="L373" t="str" cm="1">
        <f t="array" ref="L373">_xlfn.IFS(tblStudents[[#This Row],[Average Score]]&gt;=80,"High",tblStudents[[#This Row],[Average Score]]&gt;=60,"Meets Standard",TRUE,"At Risk")</f>
        <v>Meets Standard</v>
      </c>
      <c r="M3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28</v>
      </c>
    </row>
    <row r="374" spans="1:13" x14ac:dyDescent="0.25">
      <c r="A374" t="s">
        <v>9</v>
      </c>
      <c r="B374" t="s">
        <v>13</v>
      </c>
      <c r="C374" t="s">
        <v>15</v>
      </c>
      <c r="D374" t="s">
        <v>3</v>
      </c>
      <c r="E374" t="s">
        <v>4</v>
      </c>
      <c r="F374">
        <v>74</v>
      </c>
      <c r="G374">
        <v>74</v>
      </c>
      <c r="H374">
        <v>72</v>
      </c>
      <c r="I374" s="1">
        <f>AVERAGE(tblStudents[[#This Row],[Math Score]],tblStudents[[#This Row],[Reading Score]],tblStudents[[#This Row],[Writing Score]])</f>
        <v>73.333333333333329</v>
      </c>
      <c r="J374">
        <f>IF(tblStudents[[#This Row],[Average Score]]&gt;=60,1,0)</f>
        <v>1</v>
      </c>
      <c r="K374" t="str">
        <f>IF(tblStudents[[#This Row],[Average Score]]&gt;=60,"Pass","At Risk")</f>
        <v>Pass</v>
      </c>
      <c r="L374" t="str" cm="1">
        <f t="array" ref="L374">_xlfn.IFS(tblStudents[[#This Row],[Average Score]]&gt;=80,"High",tblStudents[[#This Row],[Average Score]]&gt;=60,"Meets Standard",TRUE,"At Risk")</f>
        <v>Meets Standard</v>
      </c>
      <c r="M3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75" spans="1:13" x14ac:dyDescent="0.25">
      <c r="A375" t="s">
        <v>0</v>
      </c>
      <c r="B375" t="s">
        <v>13</v>
      </c>
      <c r="C375" t="s">
        <v>6</v>
      </c>
      <c r="D375" t="s">
        <v>3</v>
      </c>
      <c r="E375" t="s">
        <v>7</v>
      </c>
      <c r="F375">
        <v>82</v>
      </c>
      <c r="G375">
        <v>97</v>
      </c>
      <c r="H375">
        <v>96</v>
      </c>
      <c r="I375" s="1">
        <f>AVERAGE(tblStudents[[#This Row],[Math Score]],tblStudents[[#This Row],[Reading Score]],tblStudents[[#This Row],[Writing Score]])</f>
        <v>91.666666666666671</v>
      </c>
      <c r="J375">
        <f>IF(tblStudents[[#This Row],[Average Score]]&gt;=60,1,0)</f>
        <v>1</v>
      </c>
      <c r="K375" t="str">
        <f>IF(tblStudents[[#This Row],[Average Score]]&gt;=60,"Pass","At Risk")</f>
        <v>Pass</v>
      </c>
      <c r="L375" t="str" cm="1">
        <f t="array" ref="L375">_xlfn.IFS(tblStudents[[#This Row],[Average Score]]&gt;=80,"High",tblStudents[[#This Row],[Average Score]]&gt;=60,"Meets Standard",TRUE,"At Risk")</f>
        <v>High</v>
      </c>
      <c r="M3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376" spans="1:13" x14ac:dyDescent="0.25">
      <c r="A376" t="s">
        <v>0</v>
      </c>
      <c r="B376" t="s">
        <v>13</v>
      </c>
      <c r="C376" t="s">
        <v>2</v>
      </c>
      <c r="D376" t="s">
        <v>3</v>
      </c>
      <c r="E376" t="s">
        <v>4</v>
      </c>
      <c r="F376">
        <v>59</v>
      </c>
      <c r="G376">
        <v>70</v>
      </c>
      <c r="H376">
        <v>73</v>
      </c>
      <c r="I376" s="1">
        <f>AVERAGE(tblStudents[[#This Row],[Math Score]],tblStudents[[#This Row],[Reading Score]],tblStudents[[#This Row],[Writing Score]])</f>
        <v>67.333333333333329</v>
      </c>
      <c r="J376">
        <f>IF(tblStudents[[#This Row],[Average Score]]&gt;=60,1,0)</f>
        <v>1</v>
      </c>
      <c r="K376" t="str">
        <f>IF(tblStudents[[#This Row],[Average Score]]&gt;=60,"Pass","At Risk")</f>
        <v>Pass</v>
      </c>
      <c r="L376" t="str" cm="1">
        <f t="array" ref="L376">_xlfn.IFS(tblStudents[[#This Row],[Average Score]]&gt;=80,"High",tblStudents[[#This Row],[Average Score]]&gt;=60,"Meets Standard",TRUE,"At Risk")</f>
        <v>Meets Standard</v>
      </c>
      <c r="M3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377" spans="1:13" x14ac:dyDescent="0.25">
      <c r="A377" t="s">
        <v>9</v>
      </c>
      <c r="B377" t="s">
        <v>16</v>
      </c>
      <c r="C377" t="s">
        <v>11</v>
      </c>
      <c r="D377" t="s">
        <v>12</v>
      </c>
      <c r="E377" t="s">
        <v>4</v>
      </c>
      <c r="F377">
        <v>46</v>
      </c>
      <c r="G377">
        <v>43</v>
      </c>
      <c r="H377">
        <v>41</v>
      </c>
      <c r="I377" s="1">
        <f>AVERAGE(tblStudents[[#This Row],[Math Score]],tblStudents[[#This Row],[Reading Score]],tblStudents[[#This Row],[Writing Score]])</f>
        <v>43.333333333333336</v>
      </c>
      <c r="J377">
        <f>IF(tblStudents[[#This Row],[Average Score]]&gt;=60,1,0)</f>
        <v>0</v>
      </c>
      <c r="K377" t="str">
        <f>IF(tblStudents[[#This Row],[Average Score]]&gt;=60,"Pass","At Risk")</f>
        <v>At Risk</v>
      </c>
      <c r="L377" t="str" cm="1">
        <f t="array" ref="L377">_xlfn.IFS(tblStudents[[#This Row],[Average Score]]&gt;=80,"High",tblStudents[[#This Row],[Average Score]]&gt;=60,"Meets Standard",TRUE,"At Risk")</f>
        <v>At Risk</v>
      </c>
      <c r="M3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78" spans="1:13" x14ac:dyDescent="0.25">
      <c r="A378" t="s">
        <v>0</v>
      </c>
      <c r="B378" t="s">
        <v>13</v>
      </c>
      <c r="C378" t="s">
        <v>15</v>
      </c>
      <c r="D378" t="s">
        <v>3</v>
      </c>
      <c r="E378" t="s">
        <v>4</v>
      </c>
      <c r="F378">
        <v>80</v>
      </c>
      <c r="G378">
        <v>90</v>
      </c>
      <c r="H378">
        <v>82</v>
      </c>
      <c r="I378" s="1">
        <f>AVERAGE(tblStudents[[#This Row],[Math Score]],tblStudents[[#This Row],[Reading Score]],tblStudents[[#This Row],[Writing Score]])</f>
        <v>84</v>
      </c>
      <c r="J378">
        <f>IF(tblStudents[[#This Row],[Average Score]]&gt;=60,1,0)</f>
        <v>1</v>
      </c>
      <c r="K378" t="str">
        <f>IF(tblStudents[[#This Row],[Average Score]]&gt;=60,"Pass","At Risk")</f>
        <v>Pass</v>
      </c>
      <c r="L378" t="str" cm="1">
        <f t="array" ref="L378">_xlfn.IFS(tblStudents[[#This Row],[Average Score]]&gt;=80,"High",tblStudents[[#This Row],[Average Score]]&gt;=60,"Meets Standard",TRUE,"At Risk")</f>
        <v>High</v>
      </c>
      <c r="M3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379" spans="1:13" x14ac:dyDescent="0.25">
      <c r="A379" t="s">
        <v>0</v>
      </c>
      <c r="B379" t="s">
        <v>13</v>
      </c>
      <c r="C379" t="s">
        <v>8</v>
      </c>
      <c r="D379" t="s">
        <v>12</v>
      </c>
      <c r="E379" t="s">
        <v>7</v>
      </c>
      <c r="F379">
        <v>85</v>
      </c>
      <c r="G379">
        <v>95</v>
      </c>
      <c r="H379">
        <v>100</v>
      </c>
      <c r="I379" s="1">
        <f>AVERAGE(tblStudents[[#This Row],[Math Score]],tblStudents[[#This Row],[Reading Score]],tblStudents[[#This Row],[Writing Score]])</f>
        <v>93.333333333333329</v>
      </c>
      <c r="J379">
        <f>IF(tblStudents[[#This Row],[Average Score]]&gt;=60,1,0)</f>
        <v>1</v>
      </c>
      <c r="K379" t="str">
        <f>IF(tblStudents[[#This Row],[Average Score]]&gt;=60,"Pass","At Risk")</f>
        <v>Pass</v>
      </c>
      <c r="L379" t="str" cm="1">
        <f t="array" ref="L379">_xlfn.IFS(tblStudents[[#This Row],[Average Score]]&gt;=80,"High",tblStudents[[#This Row],[Average Score]]&gt;=60,"Meets Standard",TRUE,"At Risk")</f>
        <v>High</v>
      </c>
      <c r="M3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380" spans="1:13" x14ac:dyDescent="0.25">
      <c r="A380" t="s">
        <v>0</v>
      </c>
      <c r="B380" t="s">
        <v>10</v>
      </c>
      <c r="C380" t="s">
        <v>15</v>
      </c>
      <c r="D380" t="s">
        <v>3</v>
      </c>
      <c r="E380" t="s">
        <v>4</v>
      </c>
      <c r="F380">
        <v>71</v>
      </c>
      <c r="G380">
        <v>83</v>
      </c>
      <c r="H380">
        <v>77</v>
      </c>
      <c r="I380" s="1">
        <f>AVERAGE(tblStudents[[#This Row],[Math Score]],tblStudents[[#This Row],[Reading Score]],tblStudents[[#This Row],[Writing Score]])</f>
        <v>77</v>
      </c>
      <c r="J380">
        <f>IF(tblStudents[[#This Row],[Average Score]]&gt;=60,1,0)</f>
        <v>1</v>
      </c>
      <c r="K380" t="str">
        <f>IF(tblStudents[[#This Row],[Average Score]]&gt;=60,"Pass","At Risk")</f>
        <v>Pass</v>
      </c>
      <c r="L380" t="str" cm="1">
        <f t="array" ref="L380">_xlfn.IFS(tblStudents[[#This Row],[Average Score]]&gt;=80,"High",tblStudents[[#This Row],[Average Score]]&gt;=60,"Meets Standard",TRUE,"At Risk")</f>
        <v>Meets Standard</v>
      </c>
      <c r="M3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81" spans="1:13" x14ac:dyDescent="0.25">
      <c r="A381" t="s">
        <v>9</v>
      </c>
      <c r="B381" t="s">
        <v>10</v>
      </c>
      <c r="C381" t="s">
        <v>2</v>
      </c>
      <c r="D381" t="s">
        <v>3</v>
      </c>
      <c r="E381" t="s">
        <v>4</v>
      </c>
      <c r="F381">
        <v>66</v>
      </c>
      <c r="G381">
        <v>64</v>
      </c>
      <c r="H381">
        <v>62</v>
      </c>
      <c r="I381" s="1">
        <f>AVERAGE(tblStudents[[#This Row],[Math Score]],tblStudents[[#This Row],[Reading Score]],tblStudents[[#This Row],[Writing Score]])</f>
        <v>64</v>
      </c>
      <c r="J381">
        <f>IF(tblStudents[[#This Row],[Average Score]]&gt;=60,1,0)</f>
        <v>1</v>
      </c>
      <c r="K381" t="str">
        <f>IF(tblStudents[[#This Row],[Average Score]]&gt;=60,"Pass","At Risk")</f>
        <v>Pass</v>
      </c>
      <c r="L381" t="str" cm="1">
        <f t="array" ref="L381">_xlfn.IFS(tblStudents[[#This Row],[Average Score]]&gt;=80,"High",tblStudents[[#This Row],[Average Score]]&gt;=60,"Meets Standard",TRUE,"At Risk")</f>
        <v>Meets Standard</v>
      </c>
      <c r="M3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382" spans="1:13" x14ac:dyDescent="0.25">
      <c r="A382" t="s">
        <v>0</v>
      </c>
      <c r="B382" t="s">
        <v>1</v>
      </c>
      <c r="C382" t="s">
        <v>11</v>
      </c>
      <c r="D382" t="s">
        <v>3</v>
      </c>
      <c r="E382" t="s">
        <v>4</v>
      </c>
      <c r="F382">
        <v>80</v>
      </c>
      <c r="G382">
        <v>86</v>
      </c>
      <c r="H382">
        <v>83</v>
      </c>
      <c r="I382" s="1">
        <f>AVERAGE(tblStudents[[#This Row],[Math Score]],tblStudents[[#This Row],[Reading Score]],tblStudents[[#This Row],[Writing Score]])</f>
        <v>83</v>
      </c>
      <c r="J382">
        <f>IF(tblStudents[[#This Row],[Average Score]]&gt;=60,1,0)</f>
        <v>1</v>
      </c>
      <c r="K382" t="str">
        <f>IF(tblStudents[[#This Row],[Average Score]]&gt;=60,"Pass","At Risk")</f>
        <v>Pass</v>
      </c>
      <c r="L382" t="str" cm="1">
        <f t="array" ref="L382">_xlfn.IFS(tblStudents[[#This Row],[Average Score]]&gt;=80,"High",tblStudents[[#This Row],[Average Score]]&gt;=60,"Meets Standard",TRUE,"At Risk")</f>
        <v>High</v>
      </c>
      <c r="M3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383" spans="1:13" x14ac:dyDescent="0.25">
      <c r="A383" t="s">
        <v>9</v>
      </c>
      <c r="B383" t="s">
        <v>5</v>
      </c>
      <c r="C383" t="s">
        <v>11</v>
      </c>
      <c r="D383" t="s">
        <v>3</v>
      </c>
      <c r="E383" t="s">
        <v>7</v>
      </c>
      <c r="F383">
        <v>87</v>
      </c>
      <c r="G383">
        <v>100</v>
      </c>
      <c r="H383">
        <v>95</v>
      </c>
      <c r="I383" s="1">
        <f>AVERAGE(tblStudents[[#This Row],[Math Score]],tblStudents[[#This Row],[Reading Score]],tblStudents[[#This Row],[Writing Score]])</f>
        <v>94</v>
      </c>
      <c r="J383">
        <f>IF(tblStudents[[#This Row],[Average Score]]&gt;=60,1,0)</f>
        <v>1</v>
      </c>
      <c r="K383" t="str">
        <f>IF(tblStudents[[#This Row],[Average Score]]&gt;=60,"Pass","At Risk")</f>
        <v>Pass</v>
      </c>
      <c r="L383" t="str" cm="1">
        <f t="array" ref="L383">_xlfn.IFS(tblStudents[[#This Row],[Average Score]]&gt;=80,"High",tblStudents[[#This Row],[Average Score]]&gt;=60,"Meets Standard",TRUE,"At Risk")</f>
        <v>High</v>
      </c>
      <c r="M3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384" spans="1:13" x14ac:dyDescent="0.25">
      <c r="A384" t="s">
        <v>9</v>
      </c>
      <c r="B384" t="s">
        <v>5</v>
      </c>
      <c r="C384" t="s">
        <v>8</v>
      </c>
      <c r="D384" t="s">
        <v>12</v>
      </c>
      <c r="E384" t="s">
        <v>4</v>
      </c>
      <c r="F384">
        <v>79</v>
      </c>
      <c r="G384">
        <v>81</v>
      </c>
      <c r="H384">
        <v>71</v>
      </c>
      <c r="I384" s="1">
        <f>AVERAGE(tblStudents[[#This Row],[Math Score]],tblStudents[[#This Row],[Reading Score]],tblStudents[[#This Row],[Writing Score]])</f>
        <v>77</v>
      </c>
      <c r="J384">
        <f>IF(tblStudents[[#This Row],[Average Score]]&gt;=60,1,0)</f>
        <v>1</v>
      </c>
      <c r="K384" t="str">
        <f>IF(tblStudents[[#This Row],[Average Score]]&gt;=60,"Pass","At Risk")</f>
        <v>Pass</v>
      </c>
      <c r="L384" t="str" cm="1">
        <f t="array" ref="L384">_xlfn.IFS(tblStudents[[#This Row],[Average Score]]&gt;=80,"High",tblStudents[[#This Row],[Average Score]]&gt;=60,"Meets Standard",TRUE,"At Risk")</f>
        <v>Meets Standard</v>
      </c>
      <c r="M3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385" spans="1:13" x14ac:dyDescent="0.25">
      <c r="A385" t="s">
        <v>0</v>
      </c>
      <c r="B385" t="s">
        <v>16</v>
      </c>
      <c r="C385" t="s">
        <v>15</v>
      </c>
      <c r="D385" t="s">
        <v>12</v>
      </c>
      <c r="E385" t="s">
        <v>4</v>
      </c>
      <c r="F385">
        <v>38</v>
      </c>
      <c r="G385">
        <v>49</v>
      </c>
      <c r="H385">
        <v>45</v>
      </c>
      <c r="I385" s="1">
        <f>AVERAGE(tblStudents[[#This Row],[Math Score]],tblStudents[[#This Row],[Reading Score]],tblStudents[[#This Row],[Writing Score]])</f>
        <v>44</v>
      </c>
      <c r="J385">
        <f>IF(tblStudents[[#This Row],[Average Score]]&gt;=60,1,0)</f>
        <v>0</v>
      </c>
      <c r="K385" t="str">
        <f>IF(tblStudents[[#This Row],[Average Score]]&gt;=60,"Pass","At Risk")</f>
        <v>At Risk</v>
      </c>
      <c r="L385" t="str" cm="1">
        <f t="array" ref="L385">_xlfn.IFS(tblStudents[[#This Row],[Average Score]]&gt;=80,"High",tblStudents[[#This Row],[Average Score]]&gt;=60,"Meets Standard",TRUE,"At Risk")</f>
        <v>At Risk</v>
      </c>
      <c r="M3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386" spans="1:13" x14ac:dyDescent="0.25">
      <c r="A386" t="s">
        <v>0</v>
      </c>
      <c r="B386" t="s">
        <v>10</v>
      </c>
      <c r="C386" t="s">
        <v>15</v>
      </c>
      <c r="D386" t="s">
        <v>12</v>
      </c>
      <c r="E386" t="s">
        <v>4</v>
      </c>
      <c r="F386">
        <v>38</v>
      </c>
      <c r="G386">
        <v>43</v>
      </c>
      <c r="H386">
        <v>43</v>
      </c>
      <c r="I386" s="1">
        <f>AVERAGE(tblStudents[[#This Row],[Math Score]],tblStudents[[#This Row],[Reading Score]],tblStudents[[#This Row],[Writing Score]])</f>
        <v>41.333333333333336</v>
      </c>
      <c r="J386">
        <f>IF(tblStudents[[#This Row],[Average Score]]&gt;=60,1,0)</f>
        <v>0</v>
      </c>
      <c r="K386" t="str">
        <f>IF(tblStudents[[#This Row],[Average Score]]&gt;=60,"Pass","At Risk")</f>
        <v>At Risk</v>
      </c>
      <c r="L386" t="str" cm="1">
        <f t="array" ref="L386">_xlfn.IFS(tblStudents[[#This Row],[Average Score]]&gt;=80,"High",tblStudents[[#This Row],[Average Score]]&gt;=60,"Meets Standard",TRUE,"At Risk")</f>
        <v>At Risk</v>
      </c>
      <c r="M3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87" spans="1:13" x14ac:dyDescent="0.25">
      <c r="A387" t="s">
        <v>0</v>
      </c>
      <c r="B387" t="s">
        <v>16</v>
      </c>
      <c r="C387" t="s">
        <v>6</v>
      </c>
      <c r="D387" t="s">
        <v>3</v>
      </c>
      <c r="E387" t="s">
        <v>4</v>
      </c>
      <c r="F387">
        <v>67</v>
      </c>
      <c r="G387">
        <v>76</v>
      </c>
      <c r="H387">
        <v>75</v>
      </c>
      <c r="I387" s="1">
        <f>AVERAGE(tblStudents[[#This Row],[Math Score]],tblStudents[[#This Row],[Reading Score]],tblStudents[[#This Row],[Writing Score]])</f>
        <v>72.666666666666671</v>
      </c>
      <c r="J387">
        <f>IF(tblStudents[[#This Row],[Average Score]]&gt;=60,1,0)</f>
        <v>1</v>
      </c>
      <c r="K387" t="str">
        <f>IF(tblStudents[[#This Row],[Average Score]]&gt;=60,"Pass","At Risk")</f>
        <v>Pass</v>
      </c>
      <c r="L387" t="str" cm="1">
        <f t="array" ref="L387">_xlfn.IFS(tblStudents[[#This Row],[Average Score]]&gt;=80,"High",tblStudents[[#This Row],[Average Score]]&gt;=60,"Meets Standard",TRUE,"At Risk")</f>
        <v>Meets Standard</v>
      </c>
      <c r="M3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88" spans="1:13" x14ac:dyDescent="0.25">
      <c r="A388" t="s">
        <v>0</v>
      </c>
      <c r="B388" t="s">
        <v>16</v>
      </c>
      <c r="C388" t="s">
        <v>2</v>
      </c>
      <c r="D388" t="s">
        <v>3</v>
      </c>
      <c r="E388" t="s">
        <v>4</v>
      </c>
      <c r="F388">
        <v>64</v>
      </c>
      <c r="G388">
        <v>73</v>
      </c>
      <c r="H388">
        <v>70</v>
      </c>
      <c r="I388" s="1">
        <f>AVERAGE(tblStudents[[#This Row],[Math Score]],tblStudents[[#This Row],[Reading Score]],tblStudents[[#This Row],[Writing Score]])</f>
        <v>69</v>
      </c>
      <c r="J388">
        <f>IF(tblStudents[[#This Row],[Average Score]]&gt;=60,1,0)</f>
        <v>1</v>
      </c>
      <c r="K388" t="str">
        <f>IF(tblStudents[[#This Row],[Average Score]]&gt;=60,"Pass","At Risk")</f>
        <v>Pass</v>
      </c>
      <c r="L388" t="str" cm="1">
        <f t="array" ref="L388">_xlfn.IFS(tblStudents[[#This Row],[Average Score]]&gt;=80,"High",tblStudents[[#This Row],[Average Score]]&gt;=60,"Meets Standard",TRUE,"At Risk")</f>
        <v>Meets Standard</v>
      </c>
      <c r="M3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89" spans="1:13" x14ac:dyDescent="0.25">
      <c r="A389" t="s">
        <v>0</v>
      </c>
      <c r="B389" t="s">
        <v>5</v>
      </c>
      <c r="C389" t="s">
        <v>11</v>
      </c>
      <c r="D389" t="s">
        <v>12</v>
      </c>
      <c r="E389" t="s">
        <v>4</v>
      </c>
      <c r="F389">
        <v>57</v>
      </c>
      <c r="G389">
        <v>78</v>
      </c>
      <c r="H389">
        <v>67</v>
      </c>
      <c r="I389" s="1">
        <f>AVERAGE(tblStudents[[#This Row],[Math Score]],tblStudents[[#This Row],[Reading Score]],tblStudents[[#This Row],[Writing Score]])</f>
        <v>67.333333333333329</v>
      </c>
      <c r="J389">
        <f>IF(tblStudents[[#This Row],[Average Score]]&gt;=60,1,0)</f>
        <v>1</v>
      </c>
      <c r="K389" t="str">
        <f>IF(tblStudents[[#This Row],[Average Score]]&gt;=60,"Pass","At Risk")</f>
        <v>Pass</v>
      </c>
      <c r="L389" t="str" cm="1">
        <f t="array" ref="L389">_xlfn.IFS(tblStudents[[#This Row],[Average Score]]&gt;=80,"High",tblStudents[[#This Row],[Average Score]]&gt;=60,"Meets Standard",TRUE,"At Risk")</f>
        <v>Meets Standard</v>
      </c>
      <c r="M3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390" spans="1:13" x14ac:dyDescent="0.25">
      <c r="A390" t="s">
        <v>0</v>
      </c>
      <c r="B390" t="s">
        <v>13</v>
      </c>
      <c r="C390" t="s">
        <v>14</v>
      </c>
      <c r="D390" t="s">
        <v>3</v>
      </c>
      <c r="E390" t="s">
        <v>4</v>
      </c>
      <c r="F390">
        <v>62</v>
      </c>
      <c r="G390">
        <v>64</v>
      </c>
      <c r="H390">
        <v>64</v>
      </c>
      <c r="I390" s="1">
        <f>AVERAGE(tblStudents[[#This Row],[Math Score]],tblStudents[[#This Row],[Reading Score]],tblStudents[[#This Row],[Writing Score]])</f>
        <v>63.333333333333336</v>
      </c>
      <c r="J390">
        <f>IF(tblStudents[[#This Row],[Average Score]]&gt;=60,1,0)</f>
        <v>1</v>
      </c>
      <c r="K390" t="str">
        <f>IF(tblStudents[[#This Row],[Average Score]]&gt;=60,"Pass","At Risk")</f>
        <v>Pass</v>
      </c>
      <c r="L390" t="str" cm="1">
        <f t="array" ref="L390">_xlfn.IFS(tblStudents[[#This Row],[Average Score]]&gt;=80,"High",tblStudents[[#This Row],[Average Score]]&gt;=60,"Meets Standard",TRUE,"At Risk")</f>
        <v>Meets Standard</v>
      </c>
      <c r="M3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391" spans="1:13" x14ac:dyDescent="0.25">
      <c r="A391" t="s">
        <v>9</v>
      </c>
      <c r="B391" t="s">
        <v>13</v>
      </c>
      <c r="C391" t="s">
        <v>8</v>
      </c>
      <c r="D391" t="s">
        <v>3</v>
      </c>
      <c r="E391" t="s">
        <v>4</v>
      </c>
      <c r="F391">
        <v>73</v>
      </c>
      <c r="G391">
        <v>70</v>
      </c>
      <c r="H391">
        <v>75</v>
      </c>
      <c r="I391" s="1">
        <f>AVERAGE(tblStudents[[#This Row],[Math Score]],tblStudents[[#This Row],[Reading Score]],tblStudents[[#This Row],[Writing Score]])</f>
        <v>72.666666666666671</v>
      </c>
      <c r="J391">
        <f>IF(tblStudents[[#This Row],[Average Score]]&gt;=60,1,0)</f>
        <v>1</v>
      </c>
      <c r="K391" t="str">
        <f>IF(tblStudents[[#This Row],[Average Score]]&gt;=60,"Pass","At Risk")</f>
        <v>Pass</v>
      </c>
      <c r="L391" t="str" cm="1">
        <f t="array" ref="L391">_xlfn.IFS(tblStudents[[#This Row],[Average Score]]&gt;=80,"High",tblStudents[[#This Row],[Average Score]]&gt;=60,"Meets Standard",TRUE,"At Risk")</f>
        <v>Meets Standard</v>
      </c>
      <c r="M3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392" spans="1:13" x14ac:dyDescent="0.25">
      <c r="A392" t="s">
        <v>9</v>
      </c>
      <c r="B392" t="s">
        <v>16</v>
      </c>
      <c r="C392" t="s">
        <v>15</v>
      </c>
      <c r="D392" t="s">
        <v>12</v>
      </c>
      <c r="E392" t="s">
        <v>7</v>
      </c>
      <c r="F392">
        <v>73</v>
      </c>
      <c r="G392">
        <v>67</v>
      </c>
      <c r="H392">
        <v>59</v>
      </c>
      <c r="I392" s="1">
        <f>AVERAGE(tblStudents[[#This Row],[Math Score]],tblStudents[[#This Row],[Reading Score]],tblStudents[[#This Row],[Writing Score]])</f>
        <v>66.333333333333329</v>
      </c>
      <c r="J392">
        <f>IF(tblStudents[[#This Row],[Average Score]]&gt;=60,1,0)</f>
        <v>1</v>
      </c>
      <c r="K392" t="str">
        <f>IF(tblStudents[[#This Row],[Average Score]]&gt;=60,"Pass","At Risk")</f>
        <v>Pass</v>
      </c>
      <c r="L392" t="str" cm="1">
        <f t="array" ref="L392">_xlfn.IFS(tblStudents[[#This Row],[Average Score]]&gt;=80,"High",tblStudents[[#This Row],[Average Score]]&gt;=60,"Meets Standard",TRUE,"At Risk")</f>
        <v>Meets Standard</v>
      </c>
      <c r="M3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393" spans="1:13" x14ac:dyDescent="0.25">
      <c r="A393" t="s">
        <v>0</v>
      </c>
      <c r="B393" t="s">
        <v>13</v>
      </c>
      <c r="C393" t="s">
        <v>6</v>
      </c>
      <c r="D393" t="s">
        <v>3</v>
      </c>
      <c r="E393" t="s">
        <v>4</v>
      </c>
      <c r="F393">
        <v>77</v>
      </c>
      <c r="G393">
        <v>68</v>
      </c>
      <c r="H393">
        <v>77</v>
      </c>
      <c r="I393" s="1">
        <f>AVERAGE(tblStudents[[#This Row],[Math Score]],tblStudents[[#This Row],[Reading Score]],tblStudents[[#This Row],[Writing Score]])</f>
        <v>74</v>
      </c>
      <c r="J393">
        <f>IF(tblStudents[[#This Row],[Average Score]]&gt;=60,1,0)</f>
        <v>1</v>
      </c>
      <c r="K393" t="str">
        <f>IF(tblStudents[[#This Row],[Average Score]]&gt;=60,"Pass","At Risk")</f>
        <v>Pass</v>
      </c>
      <c r="L393" t="str" cm="1">
        <f t="array" ref="L393">_xlfn.IFS(tblStudents[[#This Row],[Average Score]]&gt;=80,"High",tblStudents[[#This Row],[Average Score]]&gt;=60,"Meets Standard",TRUE,"At Risk")</f>
        <v>Meets Standard</v>
      </c>
      <c r="M3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94" spans="1:13" x14ac:dyDescent="0.25">
      <c r="A394" t="s">
        <v>9</v>
      </c>
      <c r="B394" t="s">
        <v>16</v>
      </c>
      <c r="C394" t="s">
        <v>6</v>
      </c>
      <c r="D394" t="s">
        <v>3</v>
      </c>
      <c r="E394" t="s">
        <v>4</v>
      </c>
      <c r="F394">
        <v>76</v>
      </c>
      <c r="G394">
        <v>67</v>
      </c>
      <c r="H394">
        <v>67</v>
      </c>
      <c r="I394" s="1">
        <f>AVERAGE(tblStudents[[#This Row],[Math Score]],tblStudents[[#This Row],[Reading Score]],tblStudents[[#This Row],[Writing Score]])</f>
        <v>70</v>
      </c>
      <c r="J394">
        <f>IF(tblStudents[[#This Row],[Average Score]]&gt;=60,1,0)</f>
        <v>1</v>
      </c>
      <c r="K394" t="str">
        <f>IF(tblStudents[[#This Row],[Average Score]]&gt;=60,"Pass","At Risk")</f>
        <v>Pass</v>
      </c>
      <c r="L394" t="str" cm="1">
        <f t="array" ref="L394">_xlfn.IFS(tblStudents[[#This Row],[Average Score]]&gt;=80,"High",tblStudents[[#This Row],[Average Score]]&gt;=60,"Meets Standard",TRUE,"At Risk")</f>
        <v>Meets Standard</v>
      </c>
      <c r="M3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395" spans="1:13" x14ac:dyDescent="0.25">
      <c r="A395" t="s">
        <v>9</v>
      </c>
      <c r="B395" t="s">
        <v>5</v>
      </c>
      <c r="C395" t="s">
        <v>11</v>
      </c>
      <c r="D395" t="s">
        <v>3</v>
      </c>
      <c r="E395" t="s">
        <v>7</v>
      </c>
      <c r="F395">
        <v>57</v>
      </c>
      <c r="G395">
        <v>54</v>
      </c>
      <c r="H395">
        <v>56</v>
      </c>
      <c r="I395" s="1">
        <f>AVERAGE(tblStudents[[#This Row],[Math Score]],tblStudents[[#This Row],[Reading Score]],tblStudents[[#This Row],[Writing Score]])</f>
        <v>55.666666666666664</v>
      </c>
      <c r="J395">
        <f>IF(tblStudents[[#This Row],[Average Score]]&gt;=60,1,0)</f>
        <v>0</v>
      </c>
      <c r="K395" t="str">
        <f>IF(tblStudents[[#This Row],[Average Score]]&gt;=60,"Pass","At Risk")</f>
        <v>At Risk</v>
      </c>
      <c r="L395" t="str" cm="1">
        <f t="array" ref="L395">_xlfn.IFS(tblStudents[[#This Row],[Average Score]]&gt;=80,"High",tblStudents[[#This Row],[Average Score]]&gt;=60,"Meets Standard",TRUE,"At Risk")</f>
        <v>At Risk</v>
      </c>
      <c r="M3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396" spans="1:13" x14ac:dyDescent="0.25">
      <c r="A396" t="s">
        <v>0</v>
      </c>
      <c r="B396" t="s">
        <v>5</v>
      </c>
      <c r="C396" t="s">
        <v>15</v>
      </c>
      <c r="D396" t="s">
        <v>3</v>
      </c>
      <c r="E396" t="s">
        <v>7</v>
      </c>
      <c r="F396">
        <v>65</v>
      </c>
      <c r="G396">
        <v>74</v>
      </c>
      <c r="H396">
        <v>77</v>
      </c>
      <c r="I396" s="1">
        <f>AVERAGE(tblStudents[[#This Row],[Math Score]],tblStudents[[#This Row],[Reading Score]],tblStudents[[#This Row],[Writing Score]])</f>
        <v>72</v>
      </c>
      <c r="J396">
        <f>IF(tblStudents[[#This Row],[Average Score]]&gt;=60,1,0)</f>
        <v>1</v>
      </c>
      <c r="K396" t="str">
        <f>IF(tblStudents[[#This Row],[Average Score]]&gt;=60,"Pass","At Risk")</f>
        <v>Pass</v>
      </c>
      <c r="L396" t="str" cm="1">
        <f t="array" ref="L396">_xlfn.IFS(tblStudents[[#This Row],[Average Score]]&gt;=80,"High",tblStudents[[#This Row],[Average Score]]&gt;=60,"Meets Standard",TRUE,"At Risk")</f>
        <v>Meets Standard</v>
      </c>
      <c r="M3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397" spans="1:13" x14ac:dyDescent="0.25">
      <c r="A397" t="s">
        <v>9</v>
      </c>
      <c r="B397" t="s">
        <v>10</v>
      </c>
      <c r="C397" t="s">
        <v>14</v>
      </c>
      <c r="D397" t="s">
        <v>12</v>
      </c>
      <c r="E397" t="s">
        <v>4</v>
      </c>
      <c r="F397">
        <v>48</v>
      </c>
      <c r="G397">
        <v>45</v>
      </c>
      <c r="H397">
        <v>41</v>
      </c>
      <c r="I397" s="1">
        <f>AVERAGE(tblStudents[[#This Row],[Math Score]],tblStudents[[#This Row],[Reading Score]],tblStudents[[#This Row],[Writing Score]])</f>
        <v>44.666666666666664</v>
      </c>
      <c r="J397">
        <f>IF(tblStudents[[#This Row],[Average Score]]&gt;=60,1,0)</f>
        <v>0</v>
      </c>
      <c r="K397" t="str">
        <f>IF(tblStudents[[#This Row],[Average Score]]&gt;=60,"Pass","At Risk")</f>
        <v>At Risk</v>
      </c>
      <c r="L397" t="str" cm="1">
        <f t="array" ref="L397">_xlfn.IFS(tblStudents[[#This Row],[Average Score]]&gt;=80,"High",tblStudents[[#This Row],[Average Score]]&gt;=60,"Meets Standard",TRUE,"At Risk")</f>
        <v>At Risk</v>
      </c>
      <c r="M3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398" spans="1:13" x14ac:dyDescent="0.25">
      <c r="A398" t="s">
        <v>0</v>
      </c>
      <c r="B398" t="s">
        <v>1</v>
      </c>
      <c r="C398" t="s">
        <v>14</v>
      </c>
      <c r="D398" t="s">
        <v>12</v>
      </c>
      <c r="E398" t="s">
        <v>4</v>
      </c>
      <c r="F398">
        <v>50</v>
      </c>
      <c r="G398">
        <v>67</v>
      </c>
      <c r="H398">
        <v>63</v>
      </c>
      <c r="I398" s="1">
        <f>AVERAGE(tblStudents[[#This Row],[Math Score]],tblStudents[[#This Row],[Reading Score]],tblStudents[[#This Row],[Writing Score]])</f>
        <v>60</v>
      </c>
      <c r="J398">
        <f>IF(tblStudents[[#This Row],[Average Score]]&gt;=60,1,0)</f>
        <v>1</v>
      </c>
      <c r="K398" t="str">
        <f>IF(tblStudents[[#This Row],[Average Score]]&gt;=60,"Pass","At Risk")</f>
        <v>Pass</v>
      </c>
      <c r="L398" t="str" cm="1">
        <f t="array" ref="L398">_xlfn.IFS(tblStudents[[#This Row],[Average Score]]&gt;=80,"High",tblStudents[[#This Row],[Average Score]]&gt;=60,"Meets Standard",TRUE,"At Risk")</f>
        <v>Meets Standard</v>
      </c>
      <c r="M3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399" spans="1:13" x14ac:dyDescent="0.25">
      <c r="A399" t="s">
        <v>0</v>
      </c>
      <c r="B399" t="s">
        <v>5</v>
      </c>
      <c r="C399" t="s">
        <v>11</v>
      </c>
      <c r="D399" t="s">
        <v>3</v>
      </c>
      <c r="E399" t="s">
        <v>4</v>
      </c>
      <c r="F399">
        <v>85</v>
      </c>
      <c r="G399">
        <v>89</v>
      </c>
      <c r="H399">
        <v>95</v>
      </c>
      <c r="I399" s="1">
        <f>AVERAGE(tblStudents[[#This Row],[Math Score]],tblStudents[[#This Row],[Reading Score]],tblStudents[[#This Row],[Writing Score]])</f>
        <v>89.666666666666671</v>
      </c>
      <c r="J399">
        <f>IF(tblStudents[[#This Row],[Average Score]]&gt;=60,1,0)</f>
        <v>1</v>
      </c>
      <c r="K399" t="str">
        <f>IF(tblStudents[[#This Row],[Average Score]]&gt;=60,"Pass","At Risk")</f>
        <v>Pass</v>
      </c>
      <c r="L399" t="str" cm="1">
        <f t="array" ref="L399">_xlfn.IFS(tblStudents[[#This Row],[Average Score]]&gt;=80,"High",tblStudents[[#This Row],[Average Score]]&gt;=60,"Meets Standard",TRUE,"At Risk")</f>
        <v>High</v>
      </c>
      <c r="M3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00" spans="1:13" x14ac:dyDescent="0.25">
      <c r="A400" t="s">
        <v>9</v>
      </c>
      <c r="B400" t="s">
        <v>1</v>
      </c>
      <c r="C400" t="s">
        <v>15</v>
      </c>
      <c r="D400" t="s">
        <v>3</v>
      </c>
      <c r="E400" t="s">
        <v>4</v>
      </c>
      <c r="F400">
        <v>74</v>
      </c>
      <c r="G400">
        <v>63</v>
      </c>
      <c r="H400">
        <v>57</v>
      </c>
      <c r="I400" s="1">
        <f>AVERAGE(tblStudents[[#This Row],[Math Score]],tblStudents[[#This Row],[Reading Score]],tblStudents[[#This Row],[Writing Score]])</f>
        <v>64.666666666666671</v>
      </c>
      <c r="J400">
        <f>IF(tblStudents[[#This Row],[Average Score]]&gt;=60,1,0)</f>
        <v>1</v>
      </c>
      <c r="K400" t="str">
        <f>IF(tblStudents[[#This Row],[Average Score]]&gt;=60,"Pass","At Risk")</f>
        <v>Pass</v>
      </c>
      <c r="L400" t="str" cm="1">
        <f t="array" ref="L400">_xlfn.IFS(tblStudents[[#This Row],[Average Score]]&gt;=80,"High",tblStudents[[#This Row],[Average Score]]&gt;=60,"Meets Standard",TRUE,"At Risk")</f>
        <v>Meets Standard</v>
      </c>
      <c r="M4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401" spans="1:13" x14ac:dyDescent="0.25">
      <c r="A401" t="s">
        <v>9</v>
      </c>
      <c r="B401" t="s">
        <v>13</v>
      </c>
      <c r="C401" t="s">
        <v>15</v>
      </c>
      <c r="D401" t="s">
        <v>3</v>
      </c>
      <c r="E401" t="s">
        <v>4</v>
      </c>
      <c r="F401">
        <v>60</v>
      </c>
      <c r="G401">
        <v>59</v>
      </c>
      <c r="H401">
        <v>54</v>
      </c>
      <c r="I401" s="1">
        <f>AVERAGE(tblStudents[[#This Row],[Math Score]],tblStudents[[#This Row],[Reading Score]],tblStudents[[#This Row],[Writing Score]])</f>
        <v>57.666666666666664</v>
      </c>
      <c r="J401">
        <f>IF(tblStudents[[#This Row],[Average Score]]&gt;=60,1,0)</f>
        <v>0</v>
      </c>
      <c r="K401" t="str">
        <f>IF(tblStudents[[#This Row],[Average Score]]&gt;=60,"Pass","At Risk")</f>
        <v>At Risk</v>
      </c>
      <c r="L401" t="str" cm="1">
        <f t="array" ref="L401">_xlfn.IFS(tblStudents[[#This Row],[Average Score]]&gt;=80,"High",tblStudents[[#This Row],[Average Score]]&gt;=60,"Meets Standard",TRUE,"At Risk")</f>
        <v>At Risk</v>
      </c>
      <c r="M4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02" spans="1:13" x14ac:dyDescent="0.25">
      <c r="A402" t="s">
        <v>0</v>
      </c>
      <c r="B402" t="s">
        <v>5</v>
      </c>
      <c r="C402" t="s">
        <v>15</v>
      </c>
      <c r="D402" t="s">
        <v>3</v>
      </c>
      <c r="E402" t="s">
        <v>7</v>
      </c>
      <c r="F402">
        <v>59</v>
      </c>
      <c r="G402">
        <v>54</v>
      </c>
      <c r="H402">
        <v>67</v>
      </c>
      <c r="I402" s="1">
        <f>AVERAGE(tblStudents[[#This Row],[Math Score]],tblStudents[[#This Row],[Reading Score]],tblStudents[[#This Row],[Writing Score]])</f>
        <v>60</v>
      </c>
      <c r="J402">
        <f>IF(tblStudents[[#This Row],[Average Score]]&gt;=60,1,0)</f>
        <v>1</v>
      </c>
      <c r="K402" t="str">
        <f>IF(tblStudents[[#This Row],[Average Score]]&gt;=60,"Pass","At Risk")</f>
        <v>Pass</v>
      </c>
      <c r="L402" t="str" cm="1">
        <f t="array" ref="L402">_xlfn.IFS(tblStudents[[#This Row],[Average Score]]&gt;=80,"High",tblStudents[[#This Row],[Average Score]]&gt;=60,"Meets Standard",TRUE,"At Risk")</f>
        <v>Meets Standard</v>
      </c>
      <c r="M4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403" spans="1:13" x14ac:dyDescent="0.25">
      <c r="A403" t="s">
        <v>9</v>
      </c>
      <c r="B403" t="s">
        <v>10</v>
      </c>
      <c r="C403" t="s">
        <v>6</v>
      </c>
      <c r="D403" t="s">
        <v>3</v>
      </c>
      <c r="E403" t="s">
        <v>4</v>
      </c>
      <c r="F403">
        <v>53</v>
      </c>
      <c r="G403">
        <v>43</v>
      </c>
      <c r="H403">
        <v>43</v>
      </c>
      <c r="I403" s="1">
        <f>AVERAGE(tblStudents[[#This Row],[Math Score]],tblStudents[[#This Row],[Reading Score]],tblStudents[[#This Row],[Writing Score]])</f>
        <v>46.333333333333336</v>
      </c>
      <c r="J403">
        <f>IF(tblStudents[[#This Row],[Average Score]]&gt;=60,1,0)</f>
        <v>0</v>
      </c>
      <c r="K403" t="str">
        <f>IF(tblStudents[[#This Row],[Average Score]]&gt;=60,"Pass","At Risk")</f>
        <v>At Risk</v>
      </c>
      <c r="L403" t="str" cm="1">
        <f t="array" ref="L403">_xlfn.IFS(tblStudents[[#This Row],[Average Score]]&gt;=80,"High",tblStudents[[#This Row],[Average Score]]&gt;=60,"Meets Standard",TRUE,"At Risk")</f>
        <v>At Risk</v>
      </c>
      <c r="M4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04" spans="1:13" x14ac:dyDescent="0.25">
      <c r="A404" t="s">
        <v>0</v>
      </c>
      <c r="B404" t="s">
        <v>10</v>
      </c>
      <c r="C404" t="s">
        <v>6</v>
      </c>
      <c r="D404" t="s">
        <v>12</v>
      </c>
      <c r="E404" t="s">
        <v>4</v>
      </c>
      <c r="F404">
        <v>49</v>
      </c>
      <c r="G404">
        <v>65</v>
      </c>
      <c r="H404">
        <v>55</v>
      </c>
      <c r="I404" s="1">
        <f>AVERAGE(tblStudents[[#This Row],[Math Score]],tblStudents[[#This Row],[Reading Score]],tblStudents[[#This Row],[Writing Score]])</f>
        <v>56.333333333333336</v>
      </c>
      <c r="J404">
        <f>IF(tblStudents[[#This Row],[Average Score]]&gt;=60,1,0)</f>
        <v>0</v>
      </c>
      <c r="K404" t="str">
        <f>IF(tblStudents[[#This Row],[Average Score]]&gt;=60,"Pass","At Risk")</f>
        <v>At Risk</v>
      </c>
      <c r="L404" t="str" cm="1">
        <f t="array" ref="L404">_xlfn.IFS(tblStudents[[#This Row],[Average Score]]&gt;=80,"High",tblStudents[[#This Row],[Average Score]]&gt;=60,"Meets Standard",TRUE,"At Risk")</f>
        <v>At Risk</v>
      </c>
      <c r="M4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405" spans="1:13" x14ac:dyDescent="0.25">
      <c r="A405" t="s">
        <v>0</v>
      </c>
      <c r="B405" t="s">
        <v>13</v>
      </c>
      <c r="C405" t="s">
        <v>14</v>
      </c>
      <c r="D405" t="s">
        <v>3</v>
      </c>
      <c r="E405" t="s">
        <v>7</v>
      </c>
      <c r="F405">
        <v>88</v>
      </c>
      <c r="G405">
        <v>99</v>
      </c>
      <c r="H405">
        <v>100</v>
      </c>
      <c r="I405" s="1">
        <f>AVERAGE(tblStudents[[#This Row],[Math Score]],tblStudents[[#This Row],[Reading Score]],tblStudents[[#This Row],[Writing Score]])</f>
        <v>95.666666666666671</v>
      </c>
      <c r="J405">
        <f>IF(tblStudents[[#This Row],[Average Score]]&gt;=60,1,0)</f>
        <v>1</v>
      </c>
      <c r="K405" t="str">
        <f>IF(tblStudents[[#This Row],[Average Score]]&gt;=60,"Pass","At Risk")</f>
        <v>Pass</v>
      </c>
      <c r="L405" t="str" cm="1">
        <f t="array" ref="L405">_xlfn.IFS(tblStudents[[#This Row],[Average Score]]&gt;=80,"High",tblStudents[[#This Row],[Average Score]]&gt;=60,"Meets Standard",TRUE,"At Risk")</f>
        <v>High</v>
      </c>
      <c r="M4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06" spans="1:13" x14ac:dyDescent="0.25">
      <c r="A406" t="s">
        <v>0</v>
      </c>
      <c r="B406" t="s">
        <v>5</v>
      </c>
      <c r="C406" t="s">
        <v>14</v>
      </c>
      <c r="D406" t="s">
        <v>3</v>
      </c>
      <c r="E406" t="s">
        <v>4</v>
      </c>
      <c r="F406">
        <v>54</v>
      </c>
      <c r="G406">
        <v>59</v>
      </c>
      <c r="H406">
        <v>62</v>
      </c>
      <c r="I406" s="1">
        <f>AVERAGE(tblStudents[[#This Row],[Math Score]],tblStudents[[#This Row],[Reading Score]],tblStudents[[#This Row],[Writing Score]])</f>
        <v>58.333333333333336</v>
      </c>
      <c r="J406">
        <f>IF(tblStudents[[#This Row],[Average Score]]&gt;=60,1,0)</f>
        <v>0</v>
      </c>
      <c r="K406" t="str">
        <f>IF(tblStudents[[#This Row],[Average Score]]&gt;=60,"Pass","At Risk")</f>
        <v>At Risk</v>
      </c>
      <c r="L406" t="str" cm="1">
        <f t="array" ref="L406">_xlfn.IFS(tblStudents[[#This Row],[Average Score]]&gt;=80,"High",tblStudents[[#This Row],[Average Score]]&gt;=60,"Meets Standard",TRUE,"At Risk")</f>
        <v>At Risk</v>
      </c>
      <c r="M4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407" spans="1:13" x14ac:dyDescent="0.25">
      <c r="A407" t="s">
        <v>0</v>
      </c>
      <c r="B407" t="s">
        <v>5</v>
      </c>
      <c r="C407" t="s">
        <v>15</v>
      </c>
      <c r="D407" t="s">
        <v>3</v>
      </c>
      <c r="E407" t="s">
        <v>4</v>
      </c>
      <c r="F407">
        <v>63</v>
      </c>
      <c r="G407">
        <v>73</v>
      </c>
      <c r="H407">
        <v>68</v>
      </c>
      <c r="I407" s="1">
        <f>AVERAGE(tblStudents[[#This Row],[Math Score]],tblStudents[[#This Row],[Reading Score]],tblStudents[[#This Row],[Writing Score]])</f>
        <v>68</v>
      </c>
      <c r="J407">
        <f>IF(tblStudents[[#This Row],[Average Score]]&gt;=60,1,0)</f>
        <v>1</v>
      </c>
      <c r="K407" t="str">
        <f>IF(tblStudents[[#This Row],[Average Score]]&gt;=60,"Pass","At Risk")</f>
        <v>Pass</v>
      </c>
      <c r="L407" t="str" cm="1">
        <f t="array" ref="L407">_xlfn.IFS(tblStudents[[#This Row],[Average Score]]&gt;=80,"High",tblStudents[[#This Row],[Average Score]]&gt;=60,"Meets Standard",TRUE,"At Risk")</f>
        <v>Meets Standard</v>
      </c>
      <c r="M4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08" spans="1:13" x14ac:dyDescent="0.25">
      <c r="A408" t="s">
        <v>9</v>
      </c>
      <c r="B408" t="s">
        <v>1</v>
      </c>
      <c r="C408" t="s">
        <v>11</v>
      </c>
      <c r="D408" t="s">
        <v>3</v>
      </c>
      <c r="E408" t="s">
        <v>7</v>
      </c>
      <c r="F408">
        <v>65</v>
      </c>
      <c r="G408">
        <v>65</v>
      </c>
      <c r="H408">
        <v>63</v>
      </c>
      <c r="I408" s="1">
        <f>AVERAGE(tblStudents[[#This Row],[Math Score]],tblStudents[[#This Row],[Reading Score]],tblStudents[[#This Row],[Writing Score]])</f>
        <v>64.333333333333329</v>
      </c>
      <c r="J408">
        <f>IF(tblStudents[[#This Row],[Average Score]]&gt;=60,1,0)</f>
        <v>1</v>
      </c>
      <c r="K408" t="str">
        <f>IF(tblStudents[[#This Row],[Average Score]]&gt;=60,"Pass","At Risk")</f>
        <v>Pass</v>
      </c>
      <c r="L408" t="str" cm="1">
        <f t="array" ref="L408">_xlfn.IFS(tblStudents[[#This Row],[Average Score]]&gt;=80,"High",tblStudents[[#This Row],[Average Score]]&gt;=60,"Meets Standard",TRUE,"At Risk")</f>
        <v>Meets Standard</v>
      </c>
      <c r="M4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409" spans="1:13" x14ac:dyDescent="0.25">
      <c r="A409" t="s">
        <v>0</v>
      </c>
      <c r="B409" t="s">
        <v>1</v>
      </c>
      <c r="C409" t="s">
        <v>11</v>
      </c>
      <c r="D409" t="s">
        <v>3</v>
      </c>
      <c r="E409" t="s">
        <v>4</v>
      </c>
      <c r="F409">
        <v>82</v>
      </c>
      <c r="G409">
        <v>80</v>
      </c>
      <c r="H409">
        <v>77</v>
      </c>
      <c r="I409" s="1">
        <f>AVERAGE(tblStudents[[#This Row],[Math Score]],tblStudents[[#This Row],[Reading Score]],tblStudents[[#This Row],[Writing Score]])</f>
        <v>79.666666666666671</v>
      </c>
      <c r="J409">
        <f>IF(tblStudents[[#This Row],[Average Score]]&gt;=60,1,0)</f>
        <v>1</v>
      </c>
      <c r="K409" t="str">
        <f>IF(tblStudents[[#This Row],[Average Score]]&gt;=60,"Pass","At Risk")</f>
        <v>Pass</v>
      </c>
      <c r="L409" t="str" cm="1">
        <f t="array" ref="L409">_xlfn.IFS(tblStudents[[#This Row],[Average Score]]&gt;=80,"High",tblStudents[[#This Row],[Average Score]]&gt;=60,"Meets Standard",TRUE,"At Risk")</f>
        <v>Meets Standard</v>
      </c>
      <c r="M4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10" spans="1:13" x14ac:dyDescent="0.25">
      <c r="A410" t="s">
        <v>0</v>
      </c>
      <c r="B410" t="s">
        <v>13</v>
      </c>
      <c r="C410" t="s">
        <v>14</v>
      </c>
      <c r="D410" t="s">
        <v>12</v>
      </c>
      <c r="E410" t="s">
        <v>7</v>
      </c>
      <c r="F410">
        <v>52</v>
      </c>
      <c r="G410">
        <v>57</v>
      </c>
      <c r="H410">
        <v>56</v>
      </c>
      <c r="I410" s="1">
        <f>AVERAGE(tblStudents[[#This Row],[Math Score]],tblStudents[[#This Row],[Reading Score]],tblStudents[[#This Row],[Writing Score]])</f>
        <v>55</v>
      </c>
      <c r="J410">
        <f>IF(tblStudents[[#This Row],[Average Score]]&gt;=60,1,0)</f>
        <v>0</v>
      </c>
      <c r="K410" t="str">
        <f>IF(tblStudents[[#This Row],[Average Score]]&gt;=60,"Pass","At Risk")</f>
        <v>At Risk</v>
      </c>
      <c r="L410" t="str" cm="1">
        <f t="array" ref="L410">_xlfn.IFS(tblStudents[[#This Row],[Average Score]]&gt;=80,"High",tblStudents[[#This Row],[Average Score]]&gt;=60,"Meets Standard",TRUE,"At Risk")</f>
        <v>At Risk</v>
      </c>
      <c r="M4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11" spans="1:13" x14ac:dyDescent="0.25">
      <c r="A411" t="s">
        <v>9</v>
      </c>
      <c r="B411" t="s">
        <v>13</v>
      </c>
      <c r="C411" t="s">
        <v>11</v>
      </c>
      <c r="D411" t="s">
        <v>3</v>
      </c>
      <c r="E411" t="s">
        <v>7</v>
      </c>
      <c r="F411">
        <v>87</v>
      </c>
      <c r="G411">
        <v>84</v>
      </c>
      <c r="H411">
        <v>85</v>
      </c>
      <c r="I411" s="1">
        <f>AVERAGE(tblStudents[[#This Row],[Math Score]],tblStudents[[#This Row],[Reading Score]],tblStudents[[#This Row],[Writing Score]])</f>
        <v>85.333333333333329</v>
      </c>
      <c r="J411">
        <f>IF(tblStudents[[#This Row],[Average Score]]&gt;=60,1,0)</f>
        <v>1</v>
      </c>
      <c r="K411" t="str">
        <f>IF(tblStudents[[#This Row],[Average Score]]&gt;=60,"Pass","At Risk")</f>
        <v>Pass</v>
      </c>
      <c r="L411" t="str" cm="1">
        <f t="array" ref="L411">_xlfn.IFS(tblStudents[[#This Row],[Average Score]]&gt;=80,"High",tblStudents[[#This Row],[Average Score]]&gt;=60,"Meets Standard",TRUE,"At Risk")</f>
        <v>High</v>
      </c>
      <c r="M4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412" spans="1:13" x14ac:dyDescent="0.25">
      <c r="A412" t="s">
        <v>0</v>
      </c>
      <c r="B412" t="s">
        <v>13</v>
      </c>
      <c r="C412" t="s">
        <v>8</v>
      </c>
      <c r="D412" t="s">
        <v>3</v>
      </c>
      <c r="E412" t="s">
        <v>7</v>
      </c>
      <c r="F412">
        <v>70</v>
      </c>
      <c r="G412">
        <v>71</v>
      </c>
      <c r="H412">
        <v>74</v>
      </c>
      <c r="I412" s="1">
        <f>AVERAGE(tblStudents[[#This Row],[Math Score]],tblStudents[[#This Row],[Reading Score]],tblStudents[[#This Row],[Writing Score]])</f>
        <v>71.666666666666671</v>
      </c>
      <c r="J412">
        <f>IF(tblStudents[[#This Row],[Average Score]]&gt;=60,1,0)</f>
        <v>1</v>
      </c>
      <c r="K412" t="str">
        <f>IF(tblStudents[[#This Row],[Average Score]]&gt;=60,"Pass","At Risk")</f>
        <v>Pass</v>
      </c>
      <c r="L412" t="str" cm="1">
        <f t="array" ref="L412">_xlfn.IFS(tblStudents[[#This Row],[Average Score]]&gt;=80,"High",tblStudents[[#This Row],[Average Score]]&gt;=60,"Meets Standard",TRUE,"At Risk")</f>
        <v>Meets Standard</v>
      </c>
      <c r="M4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413" spans="1:13" x14ac:dyDescent="0.25">
      <c r="A413" t="s">
        <v>9</v>
      </c>
      <c r="B413" t="s">
        <v>16</v>
      </c>
      <c r="C413" t="s">
        <v>6</v>
      </c>
      <c r="D413" t="s">
        <v>3</v>
      </c>
      <c r="E413" t="s">
        <v>7</v>
      </c>
      <c r="F413">
        <v>84</v>
      </c>
      <c r="G413">
        <v>83</v>
      </c>
      <c r="H413">
        <v>78</v>
      </c>
      <c r="I413" s="1">
        <f>AVERAGE(tblStudents[[#This Row],[Math Score]],tblStudents[[#This Row],[Reading Score]],tblStudents[[#This Row],[Writing Score]])</f>
        <v>81.666666666666671</v>
      </c>
      <c r="J413">
        <f>IF(tblStudents[[#This Row],[Average Score]]&gt;=60,1,0)</f>
        <v>1</v>
      </c>
      <c r="K413" t="str">
        <f>IF(tblStudents[[#This Row],[Average Score]]&gt;=60,"Pass","At Risk")</f>
        <v>Pass</v>
      </c>
      <c r="L413" t="str" cm="1">
        <f t="array" ref="L413">_xlfn.IFS(tblStudents[[#This Row],[Average Score]]&gt;=80,"High",tblStudents[[#This Row],[Average Score]]&gt;=60,"Meets Standard",TRUE,"At Risk")</f>
        <v>High</v>
      </c>
      <c r="M4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14" spans="1:13" x14ac:dyDescent="0.25">
      <c r="A414" t="s">
        <v>9</v>
      </c>
      <c r="B414" t="s">
        <v>13</v>
      </c>
      <c r="C414" t="s">
        <v>11</v>
      </c>
      <c r="D414" t="s">
        <v>3</v>
      </c>
      <c r="E414" t="s">
        <v>4</v>
      </c>
      <c r="F414">
        <v>71</v>
      </c>
      <c r="G414">
        <v>66</v>
      </c>
      <c r="H414">
        <v>60</v>
      </c>
      <c r="I414" s="1">
        <f>AVERAGE(tblStudents[[#This Row],[Math Score]],tblStudents[[#This Row],[Reading Score]],tblStudents[[#This Row],[Writing Score]])</f>
        <v>65.666666666666671</v>
      </c>
      <c r="J414">
        <f>IF(tblStudents[[#This Row],[Average Score]]&gt;=60,1,0)</f>
        <v>1</v>
      </c>
      <c r="K414" t="str">
        <f>IF(tblStudents[[#This Row],[Average Score]]&gt;=60,"Pass","At Risk")</f>
        <v>Pass</v>
      </c>
      <c r="L414" t="str" cm="1">
        <f t="array" ref="L414">_xlfn.IFS(tblStudents[[#This Row],[Average Score]]&gt;=80,"High",tblStudents[[#This Row],[Average Score]]&gt;=60,"Meets Standard",TRUE,"At Risk")</f>
        <v>Meets Standard</v>
      </c>
      <c r="M4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15" spans="1:13" x14ac:dyDescent="0.25">
      <c r="A415" t="s">
        <v>9</v>
      </c>
      <c r="B415" t="s">
        <v>1</v>
      </c>
      <c r="C415" t="s">
        <v>15</v>
      </c>
      <c r="D415" t="s">
        <v>3</v>
      </c>
      <c r="E415" t="s">
        <v>7</v>
      </c>
      <c r="F415">
        <v>63</v>
      </c>
      <c r="G415">
        <v>67</v>
      </c>
      <c r="H415">
        <v>67</v>
      </c>
      <c r="I415" s="1">
        <f>AVERAGE(tblStudents[[#This Row],[Math Score]],tblStudents[[#This Row],[Reading Score]],tblStudents[[#This Row],[Writing Score]])</f>
        <v>65.666666666666671</v>
      </c>
      <c r="J415">
        <f>IF(tblStudents[[#This Row],[Average Score]]&gt;=60,1,0)</f>
        <v>1</v>
      </c>
      <c r="K415" t="str">
        <f>IF(tblStudents[[#This Row],[Average Score]]&gt;=60,"Pass","At Risk")</f>
        <v>Pass</v>
      </c>
      <c r="L415" t="str" cm="1">
        <f t="array" ref="L415">_xlfn.IFS(tblStudents[[#This Row],[Average Score]]&gt;=80,"High",tblStudents[[#This Row],[Average Score]]&gt;=60,"Meets Standard",TRUE,"At Risk")</f>
        <v>Meets Standard</v>
      </c>
      <c r="M4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416" spans="1:13" x14ac:dyDescent="0.25">
      <c r="A416" t="s">
        <v>0</v>
      </c>
      <c r="B416" t="s">
        <v>5</v>
      </c>
      <c r="C416" t="s">
        <v>2</v>
      </c>
      <c r="D416" t="s">
        <v>12</v>
      </c>
      <c r="E416" t="s">
        <v>7</v>
      </c>
      <c r="F416">
        <v>51</v>
      </c>
      <c r="G416">
        <v>72</v>
      </c>
      <c r="H416">
        <v>79</v>
      </c>
      <c r="I416" s="1">
        <f>AVERAGE(tblStudents[[#This Row],[Math Score]],tblStudents[[#This Row],[Reading Score]],tblStudents[[#This Row],[Writing Score]])</f>
        <v>67.333333333333329</v>
      </c>
      <c r="J416">
        <f>IF(tblStudents[[#This Row],[Average Score]]&gt;=60,1,0)</f>
        <v>1</v>
      </c>
      <c r="K416" t="str">
        <f>IF(tblStudents[[#This Row],[Average Score]]&gt;=60,"Pass","At Risk")</f>
        <v>Pass</v>
      </c>
      <c r="L416" t="str" cm="1">
        <f t="array" ref="L416">_xlfn.IFS(tblStudents[[#This Row],[Average Score]]&gt;=80,"High",tblStudents[[#This Row],[Average Score]]&gt;=60,"Meets Standard",TRUE,"At Risk")</f>
        <v>Meets Standard</v>
      </c>
      <c r="M4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28</v>
      </c>
    </row>
    <row r="417" spans="1:13" x14ac:dyDescent="0.25">
      <c r="A417" t="s">
        <v>9</v>
      </c>
      <c r="B417" t="s">
        <v>16</v>
      </c>
      <c r="C417" t="s">
        <v>14</v>
      </c>
      <c r="D417" t="s">
        <v>3</v>
      </c>
      <c r="E417" t="s">
        <v>4</v>
      </c>
      <c r="F417">
        <v>84</v>
      </c>
      <c r="G417">
        <v>73</v>
      </c>
      <c r="H417">
        <v>69</v>
      </c>
      <c r="I417" s="1">
        <f>AVERAGE(tblStudents[[#This Row],[Math Score]],tblStudents[[#This Row],[Reading Score]],tblStudents[[#This Row],[Writing Score]])</f>
        <v>75.333333333333329</v>
      </c>
      <c r="J417">
        <f>IF(tblStudents[[#This Row],[Average Score]]&gt;=60,1,0)</f>
        <v>1</v>
      </c>
      <c r="K417" t="str">
        <f>IF(tblStudents[[#This Row],[Average Score]]&gt;=60,"Pass","At Risk")</f>
        <v>Pass</v>
      </c>
      <c r="L417" t="str" cm="1">
        <f t="array" ref="L417">_xlfn.IFS(tblStudents[[#This Row],[Average Score]]&gt;=80,"High",tblStudents[[#This Row],[Average Score]]&gt;=60,"Meets Standard",TRUE,"At Risk")</f>
        <v>Meets Standard</v>
      </c>
      <c r="M4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418" spans="1:13" x14ac:dyDescent="0.25">
      <c r="A418" t="s">
        <v>9</v>
      </c>
      <c r="B418" t="s">
        <v>5</v>
      </c>
      <c r="C418" t="s">
        <v>2</v>
      </c>
      <c r="D418" t="s">
        <v>3</v>
      </c>
      <c r="E418" t="s">
        <v>7</v>
      </c>
      <c r="F418">
        <v>71</v>
      </c>
      <c r="G418">
        <v>74</v>
      </c>
      <c r="H418">
        <v>68</v>
      </c>
      <c r="I418" s="1">
        <f>AVERAGE(tblStudents[[#This Row],[Math Score]],tblStudents[[#This Row],[Reading Score]],tblStudents[[#This Row],[Writing Score]])</f>
        <v>71</v>
      </c>
      <c r="J418">
        <f>IF(tblStudents[[#This Row],[Average Score]]&gt;=60,1,0)</f>
        <v>1</v>
      </c>
      <c r="K418" t="str">
        <f>IF(tblStudents[[#This Row],[Average Score]]&gt;=60,"Pass","At Risk")</f>
        <v>Pass</v>
      </c>
      <c r="L418" t="str" cm="1">
        <f t="array" ref="L418">_xlfn.IFS(tblStudents[[#This Row],[Average Score]]&gt;=80,"High",tblStudents[[#This Row],[Average Score]]&gt;=60,"Meets Standard",TRUE,"At Risk")</f>
        <v>Meets Standard</v>
      </c>
      <c r="M4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19" spans="1:13" x14ac:dyDescent="0.25">
      <c r="A419" t="s">
        <v>9</v>
      </c>
      <c r="B419" t="s">
        <v>5</v>
      </c>
      <c r="C419" t="s">
        <v>11</v>
      </c>
      <c r="D419" t="s">
        <v>3</v>
      </c>
      <c r="E419" t="s">
        <v>4</v>
      </c>
      <c r="F419">
        <v>74</v>
      </c>
      <c r="G419">
        <v>73</v>
      </c>
      <c r="H419">
        <v>67</v>
      </c>
      <c r="I419" s="1">
        <f>AVERAGE(tblStudents[[#This Row],[Math Score]],tblStudents[[#This Row],[Reading Score]],tblStudents[[#This Row],[Writing Score]])</f>
        <v>71.333333333333329</v>
      </c>
      <c r="J419">
        <f>IF(tblStudents[[#This Row],[Average Score]]&gt;=60,1,0)</f>
        <v>1</v>
      </c>
      <c r="K419" t="str">
        <f>IF(tblStudents[[#This Row],[Average Score]]&gt;=60,"Pass","At Risk")</f>
        <v>Pass</v>
      </c>
      <c r="L419" t="str" cm="1">
        <f t="array" ref="L419">_xlfn.IFS(tblStudents[[#This Row],[Average Score]]&gt;=80,"High",tblStudents[[#This Row],[Average Score]]&gt;=60,"Meets Standard",TRUE,"At Risk")</f>
        <v>Meets Standard</v>
      </c>
      <c r="M4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20" spans="1:13" x14ac:dyDescent="0.25">
      <c r="A420" t="s">
        <v>9</v>
      </c>
      <c r="B420" t="s">
        <v>13</v>
      </c>
      <c r="C420" t="s">
        <v>6</v>
      </c>
      <c r="D420" t="s">
        <v>3</v>
      </c>
      <c r="E420" t="s">
        <v>4</v>
      </c>
      <c r="F420">
        <v>68</v>
      </c>
      <c r="G420">
        <v>59</v>
      </c>
      <c r="H420">
        <v>62</v>
      </c>
      <c r="I420" s="1">
        <f>AVERAGE(tblStudents[[#This Row],[Math Score]],tblStudents[[#This Row],[Reading Score]],tblStudents[[#This Row],[Writing Score]])</f>
        <v>63</v>
      </c>
      <c r="J420">
        <f>IF(tblStudents[[#This Row],[Average Score]]&gt;=60,1,0)</f>
        <v>1</v>
      </c>
      <c r="K420" t="str">
        <f>IF(tblStudents[[#This Row],[Average Score]]&gt;=60,"Pass","At Risk")</f>
        <v>Pass</v>
      </c>
      <c r="L420" t="str" cm="1">
        <f t="array" ref="L420">_xlfn.IFS(tblStudents[[#This Row],[Average Score]]&gt;=80,"High",tblStudents[[#This Row],[Average Score]]&gt;=60,"Meets Standard",TRUE,"At Risk")</f>
        <v>Meets Standard</v>
      </c>
      <c r="M4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21" spans="1:13" x14ac:dyDescent="0.25">
      <c r="A421" t="s">
        <v>9</v>
      </c>
      <c r="B421" t="s">
        <v>16</v>
      </c>
      <c r="C421" t="s">
        <v>14</v>
      </c>
      <c r="D421" t="s">
        <v>12</v>
      </c>
      <c r="E421" t="s">
        <v>7</v>
      </c>
      <c r="F421">
        <v>57</v>
      </c>
      <c r="G421">
        <v>56</v>
      </c>
      <c r="H421">
        <v>54</v>
      </c>
      <c r="I421" s="1">
        <f>AVERAGE(tblStudents[[#This Row],[Math Score]],tblStudents[[#This Row],[Reading Score]],tblStudents[[#This Row],[Writing Score]])</f>
        <v>55.666666666666664</v>
      </c>
      <c r="J421">
        <f>IF(tblStudents[[#This Row],[Average Score]]&gt;=60,1,0)</f>
        <v>0</v>
      </c>
      <c r="K421" t="str">
        <f>IF(tblStudents[[#This Row],[Average Score]]&gt;=60,"Pass","At Risk")</f>
        <v>At Risk</v>
      </c>
      <c r="L421" t="str" cm="1">
        <f t="array" ref="L421">_xlfn.IFS(tblStudents[[#This Row],[Average Score]]&gt;=80,"High",tblStudents[[#This Row],[Average Score]]&gt;=60,"Meets Standard",TRUE,"At Risk")</f>
        <v>At Risk</v>
      </c>
      <c r="M4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422" spans="1:13" x14ac:dyDescent="0.25">
      <c r="A422" t="s">
        <v>0</v>
      </c>
      <c r="B422" t="s">
        <v>5</v>
      </c>
      <c r="C422" t="s">
        <v>11</v>
      </c>
      <c r="D422" t="s">
        <v>12</v>
      </c>
      <c r="E422" t="s">
        <v>7</v>
      </c>
      <c r="F422">
        <v>82</v>
      </c>
      <c r="G422">
        <v>93</v>
      </c>
      <c r="H422">
        <v>93</v>
      </c>
      <c r="I422" s="1">
        <f>AVERAGE(tblStudents[[#This Row],[Math Score]],tblStudents[[#This Row],[Reading Score]],tblStudents[[#This Row],[Writing Score]])</f>
        <v>89.333333333333329</v>
      </c>
      <c r="J422">
        <f>IF(tblStudents[[#This Row],[Average Score]]&gt;=60,1,0)</f>
        <v>1</v>
      </c>
      <c r="K422" t="str">
        <f>IF(tblStudents[[#This Row],[Average Score]]&gt;=60,"Pass","At Risk")</f>
        <v>Pass</v>
      </c>
      <c r="L422" t="str" cm="1">
        <f t="array" ref="L422">_xlfn.IFS(tblStudents[[#This Row],[Average Score]]&gt;=80,"High",tblStudents[[#This Row],[Average Score]]&gt;=60,"Meets Standard",TRUE,"At Risk")</f>
        <v>High</v>
      </c>
      <c r="M4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23" spans="1:13" x14ac:dyDescent="0.25">
      <c r="A423" t="s">
        <v>0</v>
      </c>
      <c r="B423" t="s">
        <v>13</v>
      </c>
      <c r="C423" t="s">
        <v>14</v>
      </c>
      <c r="D423" t="s">
        <v>3</v>
      </c>
      <c r="E423" t="s">
        <v>7</v>
      </c>
      <c r="F423">
        <v>57</v>
      </c>
      <c r="G423">
        <v>58</v>
      </c>
      <c r="H423">
        <v>64</v>
      </c>
      <c r="I423" s="1">
        <f>AVERAGE(tblStudents[[#This Row],[Math Score]],tblStudents[[#This Row],[Reading Score]],tblStudents[[#This Row],[Writing Score]])</f>
        <v>59.666666666666664</v>
      </c>
      <c r="J423">
        <f>IF(tblStudents[[#This Row],[Average Score]]&gt;=60,1,0)</f>
        <v>0</v>
      </c>
      <c r="K423" t="str">
        <f>IF(tblStudents[[#This Row],[Average Score]]&gt;=60,"Pass","At Risk")</f>
        <v>At Risk</v>
      </c>
      <c r="L423" t="str" cm="1">
        <f t="array" ref="L423">_xlfn.IFS(tblStudents[[#This Row],[Average Score]]&gt;=80,"High",tblStudents[[#This Row],[Average Score]]&gt;=60,"Meets Standard",TRUE,"At Risk")</f>
        <v>At Risk</v>
      </c>
      <c r="M4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24" spans="1:13" x14ac:dyDescent="0.25">
      <c r="A424" t="s">
        <v>0</v>
      </c>
      <c r="B424" t="s">
        <v>13</v>
      </c>
      <c r="C424" t="s">
        <v>8</v>
      </c>
      <c r="D424" t="s">
        <v>12</v>
      </c>
      <c r="E424" t="s">
        <v>7</v>
      </c>
      <c r="F424">
        <v>47</v>
      </c>
      <c r="G424">
        <v>58</v>
      </c>
      <c r="H424">
        <v>67</v>
      </c>
      <c r="I424" s="1">
        <f>AVERAGE(tblStudents[[#This Row],[Math Score]],tblStudents[[#This Row],[Reading Score]],tblStudents[[#This Row],[Writing Score]])</f>
        <v>57.333333333333336</v>
      </c>
      <c r="J424">
        <f>IF(tblStudents[[#This Row],[Average Score]]&gt;=60,1,0)</f>
        <v>0</v>
      </c>
      <c r="K424" t="str">
        <f>IF(tblStudents[[#This Row],[Average Score]]&gt;=60,"Pass","At Risk")</f>
        <v>At Risk</v>
      </c>
      <c r="L424" t="str" cm="1">
        <f t="array" ref="L424">_xlfn.IFS(tblStudents[[#This Row],[Average Score]]&gt;=80,"High",tblStudents[[#This Row],[Average Score]]&gt;=60,"Meets Standard",TRUE,"At Risk")</f>
        <v>At Risk</v>
      </c>
      <c r="M4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425" spans="1:13" x14ac:dyDescent="0.25">
      <c r="A425" t="s">
        <v>0</v>
      </c>
      <c r="B425" t="s">
        <v>10</v>
      </c>
      <c r="C425" t="s">
        <v>15</v>
      </c>
      <c r="D425" t="s">
        <v>3</v>
      </c>
      <c r="E425" t="s">
        <v>7</v>
      </c>
      <c r="F425">
        <v>59</v>
      </c>
      <c r="G425">
        <v>85</v>
      </c>
      <c r="H425">
        <v>80</v>
      </c>
      <c r="I425" s="1">
        <f>AVERAGE(tblStudents[[#This Row],[Math Score]],tblStudents[[#This Row],[Reading Score]],tblStudents[[#This Row],[Writing Score]])</f>
        <v>74.666666666666671</v>
      </c>
      <c r="J425">
        <f>IF(tblStudents[[#This Row],[Average Score]]&gt;=60,1,0)</f>
        <v>1</v>
      </c>
      <c r="K425" t="str">
        <f>IF(tblStudents[[#This Row],[Average Score]]&gt;=60,"Pass","At Risk")</f>
        <v>Pass</v>
      </c>
      <c r="L425" t="str" cm="1">
        <f t="array" ref="L425">_xlfn.IFS(tblStudents[[#This Row],[Average Score]]&gt;=80,"High",tblStudents[[#This Row],[Average Score]]&gt;=60,"Meets Standard",TRUE,"At Risk")</f>
        <v>Meets Standard</v>
      </c>
      <c r="M4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26</v>
      </c>
    </row>
    <row r="426" spans="1:13" x14ac:dyDescent="0.25">
      <c r="A426" t="s">
        <v>9</v>
      </c>
      <c r="B426" t="s">
        <v>1</v>
      </c>
      <c r="C426" t="s">
        <v>6</v>
      </c>
      <c r="D426" t="s">
        <v>12</v>
      </c>
      <c r="E426" t="s">
        <v>4</v>
      </c>
      <c r="F426">
        <v>41</v>
      </c>
      <c r="G426">
        <v>39</v>
      </c>
      <c r="H426">
        <v>34</v>
      </c>
      <c r="I426" s="1">
        <f>AVERAGE(tblStudents[[#This Row],[Math Score]],tblStudents[[#This Row],[Reading Score]],tblStudents[[#This Row],[Writing Score]])</f>
        <v>38</v>
      </c>
      <c r="J426">
        <f>IF(tblStudents[[#This Row],[Average Score]]&gt;=60,1,0)</f>
        <v>0</v>
      </c>
      <c r="K426" t="str">
        <f>IF(tblStudents[[#This Row],[Average Score]]&gt;=60,"Pass","At Risk")</f>
        <v>At Risk</v>
      </c>
      <c r="L426" t="str" cm="1">
        <f t="array" ref="L426">_xlfn.IFS(tblStudents[[#This Row],[Average Score]]&gt;=80,"High",tblStudents[[#This Row],[Average Score]]&gt;=60,"Meets Standard",TRUE,"At Risk")</f>
        <v>At Risk</v>
      </c>
      <c r="M4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27" spans="1:13" x14ac:dyDescent="0.25">
      <c r="A427" t="s">
        <v>0</v>
      </c>
      <c r="B427" t="s">
        <v>5</v>
      </c>
      <c r="C427" t="s">
        <v>6</v>
      </c>
      <c r="D427" t="s">
        <v>12</v>
      </c>
      <c r="E427" t="s">
        <v>4</v>
      </c>
      <c r="F427">
        <v>62</v>
      </c>
      <c r="G427">
        <v>67</v>
      </c>
      <c r="H427">
        <v>62</v>
      </c>
      <c r="I427" s="1">
        <f>AVERAGE(tblStudents[[#This Row],[Math Score]],tblStudents[[#This Row],[Reading Score]],tblStudents[[#This Row],[Writing Score]])</f>
        <v>63.666666666666664</v>
      </c>
      <c r="J427">
        <f>IF(tblStudents[[#This Row],[Average Score]]&gt;=60,1,0)</f>
        <v>1</v>
      </c>
      <c r="K427" t="str">
        <f>IF(tblStudents[[#This Row],[Average Score]]&gt;=60,"Pass","At Risk")</f>
        <v>Pass</v>
      </c>
      <c r="L427" t="str" cm="1">
        <f t="array" ref="L427">_xlfn.IFS(tblStudents[[#This Row],[Average Score]]&gt;=80,"High",tblStudents[[#This Row],[Average Score]]&gt;=60,"Meets Standard",TRUE,"At Risk")</f>
        <v>Meets Standard</v>
      </c>
      <c r="M4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28" spans="1:13" x14ac:dyDescent="0.25">
      <c r="A428" t="s">
        <v>9</v>
      </c>
      <c r="B428" t="s">
        <v>5</v>
      </c>
      <c r="C428" t="s">
        <v>2</v>
      </c>
      <c r="D428" t="s">
        <v>3</v>
      </c>
      <c r="E428" t="s">
        <v>4</v>
      </c>
      <c r="F428">
        <v>86</v>
      </c>
      <c r="G428">
        <v>83</v>
      </c>
      <c r="H428">
        <v>86</v>
      </c>
      <c r="I428" s="1">
        <f>AVERAGE(tblStudents[[#This Row],[Math Score]],tblStudents[[#This Row],[Reading Score]],tblStudents[[#This Row],[Writing Score]])</f>
        <v>85</v>
      </c>
      <c r="J428">
        <f>IF(tblStudents[[#This Row],[Average Score]]&gt;=60,1,0)</f>
        <v>1</v>
      </c>
      <c r="K428" t="str">
        <f>IF(tblStudents[[#This Row],[Average Score]]&gt;=60,"Pass","At Risk")</f>
        <v>Pass</v>
      </c>
      <c r="L428" t="str" cm="1">
        <f t="array" ref="L428">_xlfn.IFS(tblStudents[[#This Row],[Average Score]]&gt;=80,"High",tblStudents[[#This Row],[Average Score]]&gt;=60,"Meets Standard",TRUE,"At Risk")</f>
        <v>High</v>
      </c>
      <c r="M4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429" spans="1:13" x14ac:dyDescent="0.25">
      <c r="A429" t="s">
        <v>9</v>
      </c>
      <c r="B429" t="s">
        <v>5</v>
      </c>
      <c r="C429" t="s">
        <v>15</v>
      </c>
      <c r="D429" t="s">
        <v>12</v>
      </c>
      <c r="E429" t="s">
        <v>4</v>
      </c>
      <c r="F429">
        <v>69</v>
      </c>
      <c r="G429">
        <v>71</v>
      </c>
      <c r="H429">
        <v>65</v>
      </c>
      <c r="I429" s="1">
        <f>AVERAGE(tblStudents[[#This Row],[Math Score]],tblStudents[[#This Row],[Reading Score]],tblStudents[[#This Row],[Writing Score]])</f>
        <v>68.333333333333329</v>
      </c>
      <c r="J429">
        <f>IF(tblStudents[[#This Row],[Average Score]]&gt;=60,1,0)</f>
        <v>1</v>
      </c>
      <c r="K429" t="str">
        <f>IF(tblStudents[[#This Row],[Average Score]]&gt;=60,"Pass","At Risk")</f>
        <v>Pass</v>
      </c>
      <c r="L429" t="str" cm="1">
        <f t="array" ref="L429">_xlfn.IFS(tblStudents[[#This Row],[Average Score]]&gt;=80,"High",tblStudents[[#This Row],[Average Score]]&gt;=60,"Meets Standard",TRUE,"At Risk")</f>
        <v>Meets Standard</v>
      </c>
      <c r="M4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30" spans="1:13" x14ac:dyDescent="0.25">
      <c r="A430" t="s">
        <v>9</v>
      </c>
      <c r="B430" t="s">
        <v>10</v>
      </c>
      <c r="C430" t="s">
        <v>15</v>
      </c>
      <c r="D430" t="s">
        <v>12</v>
      </c>
      <c r="E430" t="s">
        <v>4</v>
      </c>
      <c r="F430">
        <v>65</v>
      </c>
      <c r="G430">
        <v>59</v>
      </c>
      <c r="H430">
        <v>53</v>
      </c>
      <c r="I430" s="1">
        <f>AVERAGE(tblStudents[[#This Row],[Math Score]],tblStudents[[#This Row],[Reading Score]],tblStudents[[#This Row],[Writing Score]])</f>
        <v>59</v>
      </c>
      <c r="J430">
        <f>IF(tblStudents[[#This Row],[Average Score]]&gt;=60,1,0)</f>
        <v>0</v>
      </c>
      <c r="K430" t="str">
        <f>IF(tblStudents[[#This Row],[Average Score]]&gt;=60,"Pass","At Risk")</f>
        <v>At Risk</v>
      </c>
      <c r="L430" t="str" cm="1">
        <f t="array" ref="L430">_xlfn.IFS(tblStudents[[#This Row],[Average Score]]&gt;=80,"High",tblStudents[[#This Row],[Average Score]]&gt;=60,"Meets Standard",TRUE,"At Risk")</f>
        <v>At Risk</v>
      </c>
      <c r="M4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31" spans="1:13" x14ac:dyDescent="0.25">
      <c r="A431" t="s">
        <v>9</v>
      </c>
      <c r="B431" t="s">
        <v>5</v>
      </c>
      <c r="C431" t="s">
        <v>15</v>
      </c>
      <c r="D431" t="s">
        <v>12</v>
      </c>
      <c r="E431" t="s">
        <v>4</v>
      </c>
      <c r="F431">
        <v>68</v>
      </c>
      <c r="G431">
        <v>63</v>
      </c>
      <c r="H431">
        <v>54</v>
      </c>
      <c r="I431" s="1">
        <f>AVERAGE(tblStudents[[#This Row],[Math Score]],tblStudents[[#This Row],[Reading Score]],tblStudents[[#This Row],[Writing Score]])</f>
        <v>61.666666666666664</v>
      </c>
      <c r="J431">
        <f>IF(tblStudents[[#This Row],[Average Score]]&gt;=60,1,0)</f>
        <v>1</v>
      </c>
      <c r="K431" t="str">
        <f>IF(tblStudents[[#This Row],[Average Score]]&gt;=60,"Pass","At Risk")</f>
        <v>Pass</v>
      </c>
      <c r="L431" t="str" cm="1">
        <f t="array" ref="L431">_xlfn.IFS(tblStudents[[#This Row],[Average Score]]&gt;=80,"High",tblStudents[[#This Row],[Average Score]]&gt;=60,"Meets Standard",TRUE,"At Risk")</f>
        <v>Meets Standard</v>
      </c>
      <c r="M4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32" spans="1:13" x14ac:dyDescent="0.25">
      <c r="A432" t="s">
        <v>9</v>
      </c>
      <c r="B432" t="s">
        <v>5</v>
      </c>
      <c r="C432" t="s">
        <v>11</v>
      </c>
      <c r="D432" t="s">
        <v>12</v>
      </c>
      <c r="E432" t="s">
        <v>4</v>
      </c>
      <c r="F432">
        <v>64</v>
      </c>
      <c r="G432">
        <v>66</v>
      </c>
      <c r="H432">
        <v>59</v>
      </c>
      <c r="I432" s="1">
        <f>AVERAGE(tblStudents[[#This Row],[Math Score]],tblStudents[[#This Row],[Reading Score]],tblStudents[[#This Row],[Writing Score]])</f>
        <v>63</v>
      </c>
      <c r="J432">
        <f>IF(tblStudents[[#This Row],[Average Score]]&gt;=60,1,0)</f>
        <v>1</v>
      </c>
      <c r="K432" t="str">
        <f>IF(tblStudents[[#This Row],[Average Score]]&gt;=60,"Pass","At Risk")</f>
        <v>Pass</v>
      </c>
      <c r="L432" t="str" cm="1">
        <f t="array" ref="L432">_xlfn.IFS(tblStudents[[#This Row],[Average Score]]&gt;=80,"High",tblStudents[[#This Row],[Average Score]]&gt;=60,"Meets Standard",TRUE,"At Risk")</f>
        <v>Meets Standard</v>
      </c>
      <c r="M4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33" spans="1:13" x14ac:dyDescent="0.25">
      <c r="A433" t="s">
        <v>0</v>
      </c>
      <c r="B433" t="s">
        <v>5</v>
      </c>
      <c r="C433" t="s">
        <v>14</v>
      </c>
      <c r="D433" t="s">
        <v>3</v>
      </c>
      <c r="E433" t="s">
        <v>4</v>
      </c>
      <c r="F433">
        <v>61</v>
      </c>
      <c r="G433">
        <v>72</v>
      </c>
      <c r="H433">
        <v>70</v>
      </c>
      <c r="I433" s="1">
        <f>AVERAGE(tblStudents[[#This Row],[Math Score]],tblStudents[[#This Row],[Reading Score]],tblStudents[[#This Row],[Writing Score]])</f>
        <v>67.666666666666671</v>
      </c>
      <c r="J433">
        <f>IF(tblStudents[[#This Row],[Average Score]]&gt;=60,1,0)</f>
        <v>1</v>
      </c>
      <c r="K433" t="str">
        <f>IF(tblStudents[[#This Row],[Average Score]]&gt;=60,"Pass","At Risk")</f>
        <v>Pass</v>
      </c>
      <c r="L433" t="str" cm="1">
        <f t="array" ref="L433">_xlfn.IFS(tblStudents[[#This Row],[Average Score]]&gt;=80,"High",tblStudents[[#This Row],[Average Score]]&gt;=60,"Meets Standard",TRUE,"At Risk")</f>
        <v>Meets Standard</v>
      </c>
      <c r="M4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34" spans="1:13" x14ac:dyDescent="0.25">
      <c r="A434" t="s">
        <v>9</v>
      </c>
      <c r="B434" t="s">
        <v>5</v>
      </c>
      <c r="C434" t="s">
        <v>14</v>
      </c>
      <c r="D434" t="s">
        <v>3</v>
      </c>
      <c r="E434" t="s">
        <v>4</v>
      </c>
      <c r="F434">
        <v>61</v>
      </c>
      <c r="G434">
        <v>56</v>
      </c>
      <c r="H434">
        <v>55</v>
      </c>
      <c r="I434" s="1">
        <f>AVERAGE(tblStudents[[#This Row],[Math Score]],tblStudents[[#This Row],[Reading Score]],tblStudents[[#This Row],[Writing Score]])</f>
        <v>57.333333333333336</v>
      </c>
      <c r="J434">
        <f>IF(tblStudents[[#This Row],[Average Score]]&gt;=60,1,0)</f>
        <v>0</v>
      </c>
      <c r="K434" t="str">
        <f>IF(tblStudents[[#This Row],[Average Score]]&gt;=60,"Pass","At Risk")</f>
        <v>At Risk</v>
      </c>
      <c r="L434" t="str" cm="1">
        <f t="array" ref="L434">_xlfn.IFS(tblStudents[[#This Row],[Average Score]]&gt;=80,"High",tblStudents[[#This Row],[Average Score]]&gt;=60,"Meets Standard",TRUE,"At Risk")</f>
        <v>At Risk</v>
      </c>
      <c r="M4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35" spans="1:13" x14ac:dyDescent="0.25">
      <c r="A435" t="s">
        <v>0</v>
      </c>
      <c r="B435" t="s">
        <v>10</v>
      </c>
      <c r="C435" t="s">
        <v>15</v>
      </c>
      <c r="D435" t="s">
        <v>12</v>
      </c>
      <c r="E435" t="s">
        <v>4</v>
      </c>
      <c r="F435">
        <v>47</v>
      </c>
      <c r="G435">
        <v>59</v>
      </c>
      <c r="H435">
        <v>50</v>
      </c>
      <c r="I435" s="1">
        <f>AVERAGE(tblStudents[[#This Row],[Math Score]],tblStudents[[#This Row],[Reading Score]],tblStudents[[#This Row],[Writing Score]])</f>
        <v>52</v>
      </c>
      <c r="J435">
        <f>IF(tblStudents[[#This Row],[Average Score]]&gt;=60,1,0)</f>
        <v>0</v>
      </c>
      <c r="K435" t="str">
        <f>IF(tblStudents[[#This Row],[Average Score]]&gt;=60,"Pass","At Risk")</f>
        <v>At Risk</v>
      </c>
      <c r="L435" t="str" cm="1">
        <f t="array" ref="L435">_xlfn.IFS(tblStudents[[#This Row],[Average Score]]&gt;=80,"High",tblStudents[[#This Row],[Average Score]]&gt;=60,"Meets Standard",TRUE,"At Risk")</f>
        <v>At Risk</v>
      </c>
      <c r="M4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36" spans="1:13" x14ac:dyDescent="0.25">
      <c r="A436" t="s">
        <v>9</v>
      </c>
      <c r="B436" t="s">
        <v>5</v>
      </c>
      <c r="C436" t="s">
        <v>15</v>
      </c>
      <c r="D436" t="s">
        <v>3</v>
      </c>
      <c r="E436" t="s">
        <v>4</v>
      </c>
      <c r="F436">
        <v>73</v>
      </c>
      <c r="G436">
        <v>66</v>
      </c>
      <c r="H436">
        <v>66</v>
      </c>
      <c r="I436" s="1">
        <f>AVERAGE(tblStudents[[#This Row],[Math Score]],tblStudents[[#This Row],[Reading Score]],tblStudents[[#This Row],[Writing Score]])</f>
        <v>68.333333333333329</v>
      </c>
      <c r="J436">
        <f>IF(tblStudents[[#This Row],[Average Score]]&gt;=60,1,0)</f>
        <v>1</v>
      </c>
      <c r="K436" t="str">
        <f>IF(tblStudents[[#This Row],[Average Score]]&gt;=60,"Pass","At Risk")</f>
        <v>Pass</v>
      </c>
      <c r="L436" t="str" cm="1">
        <f t="array" ref="L436">_xlfn.IFS(tblStudents[[#This Row],[Average Score]]&gt;=80,"High",tblStudents[[#This Row],[Average Score]]&gt;=60,"Meets Standard",TRUE,"At Risk")</f>
        <v>Meets Standard</v>
      </c>
      <c r="M4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37" spans="1:13" x14ac:dyDescent="0.25">
      <c r="A437" t="s">
        <v>9</v>
      </c>
      <c r="B437" t="s">
        <v>5</v>
      </c>
      <c r="C437" t="s">
        <v>6</v>
      </c>
      <c r="D437" t="s">
        <v>12</v>
      </c>
      <c r="E437" t="s">
        <v>7</v>
      </c>
      <c r="F437">
        <v>50</v>
      </c>
      <c r="G437">
        <v>48</v>
      </c>
      <c r="H437">
        <v>53</v>
      </c>
      <c r="I437" s="1">
        <f>AVERAGE(tblStudents[[#This Row],[Math Score]],tblStudents[[#This Row],[Reading Score]],tblStudents[[#This Row],[Writing Score]])</f>
        <v>50.333333333333336</v>
      </c>
      <c r="J437">
        <f>IF(tblStudents[[#This Row],[Average Score]]&gt;=60,1,0)</f>
        <v>0</v>
      </c>
      <c r="K437" t="str">
        <f>IF(tblStudents[[#This Row],[Average Score]]&gt;=60,"Pass","At Risk")</f>
        <v>At Risk</v>
      </c>
      <c r="L437" t="str" cm="1">
        <f t="array" ref="L437">_xlfn.IFS(tblStudents[[#This Row],[Average Score]]&gt;=80,"High",tblStudents[[#This Row],[Average Score]]&gt;=60,"Meets Standard",TRUE,"At Risk")</f>
        <v>At Risk</v>
      </c>
      <c r="M4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38" spans="1:13" x14ac:dyDescent="0.25">
      <c r="A438" t="s">
        <v>9</v>
      </c>
      <c r="B438" t="s">
        <v>13</v>
      </c>
      <c r="C438" t="s">
        <v>11</v>
      </c>
      <c r="D438" t="s">
        <v>3</v>
      </c>
      <c r="E438" t="s">
        <v>4</v>
      </c>
      <c r="F438">
        <v>75</v>
      </c>
      <c r="G438">
        <v>68</v>
      </c>
      <c r="H438">
        <v>64</v>
      </c>
      <c r="I438" s="1">
        <f>AVERAGE(tblStudents[[#This Row],[Math Score]],tblStudents[[#This Row],[Reading Score]],tblStudents[[#This Row],[Writing Score]])</f>
        <v>69</v>
      </c>
      <c r="J438">
        <f>IF(tblStudents[[#This Row],[Average Score]]&gt;=60,1,0)</f>
        <v>1</v>
      </c>
      <c r="K438" t="str">
        <f>IF(tblStudents[[#This Row],[Average Score]]&gt;=60,"Pass","At Risk")</f>
        <v>Pass</v>
      </c>
      <c r="L438" t="str" cm="1">
        <f t="array" ref="L438">_xlfn.IFS(tblStudents[[#This Row],[Average Score]]&gt;=80,"High",tblStudents[[#This Row],[Average Score]]&gt;=60,"Meets Standard",TRUE,"At Risk")</f>
        <v>Meets Standard</v>
      </c>
      <c r="M4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39" spans="1:13" x14ac:dyDescent="0.25">
      <c r="A439" t="s">
        <v>9</v>
      </c>
      <c r="B439" t="s">
        <v>13</v>
      </c>
      <c r="C439" t="s">
        <v>11</v>
      </c>
      <c r="D439" t="s">
        <v>12</v>
      </c>
      <c r="E439" t="s">
        <v>4</v>
      </c>
      <c r="F439">
        <v>75</v>
      </c>
      <c r="G439">
        <v>66</v>
      </c>
      <c r="H439">
        <v>73</v>
      </c>
      <c r="I439" s="1">
        <f>AVERAGE(tblStudents[[#This Row],[Math Score]],tblStudents[[#This Row],[Reading Score]],tblStudents[[#This Row],[Writing Score]])</f>
        <v>71.333333333333329</v>
      </c>
      <c r="J439">
        <f>IF(tblStudents[[#This Row],[Average Score]]&gt;=60,1,0)</f>
        <v>1</v>
      </c>
      <c r="K439" t="str">
        <f>IF(tblStudents[[#This Row],[Average Score]]&gt;=60,"Pass","At Risk")</f>
        <v>Pass</v>
      </c>
      <c r="L439" t="str" cm="1">
        <f t="array" ref="L439">_xlfn.IFS(tblStudents[[#This Row],[Average Score]]&gt;=80,"High",tblStudents[[#This Row],[Average Score]]&gt;=60,"Meets Standard",TRUE,"At Risk")</f>
        <v>Meets Standard</v>
      </c>
      <c r="M4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40" spans="1:13" x14ac:dyDescent="0.25">
      <c r="A440" t="s">
        <v>9</v>
      </c>
      <c r="B440" t="s">
        <v>5</v>
      </c>
      <c r="C440" t="s">
        <v>14</v>
      </c>
      <c r="D440" t="s">
        <v>3</v>
      </c>
      <c r="E440" t="s">
        <v>4</v>
      </c>
      <c r="F440">
        <v>70</v>
      </c>
      <c r="G440">
        <v>56</v>
      </c>
      <c r="H440">
        <v>51</v>
      </c>
      <c r="I440" s="1">
        <f>AVERAGE(tblStudents[[#This Row],[Math Score]],tblStudents[[#This Row],[Reading Score]],tblStudents[[#This Row],[Writing Score]])</f>
        <v>59</v>
      </c>
      <c r="J440">
        <f>IF(tblStudents[[#This Row],[Average Score]]&gt;=60,1,0)</f>
        <v>0</v>
      </c>
      <c r="K440" t="str">
        <f>IF(tblStudents[[#This Row],[Average Score]]&gt;=60,"Pass","At Risk")</f>
        <v>At Risk</v>
      </c>
      <c r="L440" t="str" cm="1">
        <f t="array" ref="L440">_xlfn.IFS(tblStudents[[#This Row],[Average Score]]&gt;=80,"High",tblStudents[[#This Row],[Average Score]]&gt;=60,"Meets Standard",TRUE,"At Risk")</f>
        <v>At Risk</v>
      </c>
      <c r="M4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441" spans="1:13" x14ac:dyDescent="0.25">
      <c r="A441" t="s">
        <v>9</v>
      </c>
      <c r="B441" t="s">
        <v>13</v>
      </c>
      <c r="C441" t="s">
        <v>15</v>
      </c>
      <c r="D441" t="s">
        <v>3</v>
      </c>
      <c r="E441" t="s">
        <v>7</v>
      </c>
      <c r="F441">
        <v>89</v>
      </c>
      <c r="G441">
        <v>88</v>
      </c>
      <c r="H441">
        <v>82</v>
      </c>
      <c r="I441" s="1">
        <f>AVERAGE(tblStudents[[#This Row],[Math Score]],tblStudents[[#This Row],[Reading Score]],tblStudents[[#This Row],[Writing Score]])</f>
        <v>86.333333333333329</v>
      </c>
      <c r="J441">
        <f>IF(tblStudents[[#This Row],[Average Score]]&gt;=60,1,0)</f>
        <v>1</v>
      </c>
      <c r="K441" t="str">
        <f>IF(tblStudents[[#This Row],[Average Score]]&gt;=60,"Pass","At Risk")</f>
        <v>Pass</v>
      </c>
      <c r="L441" t="str" cm="1">
        <f t="array" ref="L441">_xlfn.IFS(tblStudents[[#This Row],[Average Score]]&gt;=80,"High",tblStudents[[#This Row],[Average Score]]&gt;=60,"Meets Standard",TRUE,"At Risk")</f>
        <v>High</v>
      </c>
      <c r="M4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42" spans="1:13" x14ac:dyDescent="0.25">
      <c r="A442" t="s">
        <v>0</v>
      </c>
      <c r="B442" t="s">
        <v>5</v>
      </c>
      <c r="C442" t="s">
        <v>6</v>
      </c>
      <c r="D442" t="s">
        <v>3</v>
      </c>
      <c r="E442" t="s">
        <v>7</v>
      </c>
      <c r="F442">
        <v>67</v>
      </c>
      <c r="G442">
        <v>81</v>
      </c>
      <c r="H442">
        <v>79</v>
      </c>
      <c r="I442" s="1">
        <f>AVERAGE(tblStudents[[#This Row],[Math Score]],tblStudents[[#This Row],[Reading Score]],tblStudents[[#This Row],[Writing Score]])</f>
        <v>75.666666666666671</v>
      </c>
      <c r="J442">
        <f>IF(tblStudents[[#This Row],[Average Score]]&gt;=60,1,0)</f>
        <v>1</v>
      </c>
      <c r="K442" t="str">
        <f>IF(tblStudents[[#This Row],[Average Score]]&gt;=60,"Pass","At Risk")</f>
        <v>Pass</v>
      </c>
      <c r="L442" t="str" cm="1">
        <f t="array" ref="L442">_xlfn.IFS(tblStudents[[#This Row],[Average Score]]&gt;=80,"High",tblStudents[[#This Row],[Average Score]]&gt;=60,"Meets Standard",TRUE,"At Risk")</f>
        <v>Meets Standard</v>
      </c>
      <c r="M4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43" spans="1:13" x14ac:dyDescent="0.25">
      <c r="A443" t="s">
        <v>0</v>
      </c>
      <c r="B443" t="s">
        <v>13</v>
      </c>
      <c r="C443" t="s">
        <v>14</v>
      </c>
      <c r="D443" t="s">
        <v>3</v>
      </c>
      <c r="E443" t="s">
        <v>4</v>
      </c>
      <c r="F443">
        <v>78</v>
      </c>
      <c r="G443">
        <v>81</v>
      </c>
      <c r="H443">
        <v>80</v>
      </c>
      <c r="I443" s="1">
        <f>AVERAGE(tblStudents[[#This Row],[Math Score]],tblStudents[[#This Row],[Reading Score]],tblStudents[[#This Row],[Writing Score]])</f>
        <v>79.666666666666671</v>
      </c>
      <c r="J443">
        <f>IF(tblStudents[[#This Row],[Average Score]]&gt;=60,1,0)</f>
        <v>1</v>
      </c>
      <c r="K443" t="str">
        <f>IF(tblStudents[[#This Row],[Average Score]]&gt;=60,"Pass","At Risk")</f>
        <v>Pass</v>
      </c>
      <c r="L443" t="str" cm="1">
        <f t="array" ref="L443">_xlfn.IFS(tblStudents[[#This Row],[Average Score]]&gt;=80,"High",tblStudents[[#This Row],[Average Score]]&gt;=60,"Meets Standard",TRUE,"At Risk")</f>
        <v>Meets Standard</v>
      </c>
      <c r="M4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444" spans="1:13" x14ac:dyDescent="0.25">
      <c r="A444" t="s">
        <v>0</v>
      </c>
      <c r="B444" t="s">
        <v>10</v>
      </c>
      <c r="C444" t="s">
        <v>15</v>
      </c>
      <c r="D444" t="s">
        <v>12</v>
      </c>
      <c r="E444" t="s">
        <v>4</v>
      </c>
      <c r="F444">
        <v>59</v>
      </c>
      <c r="G444">
        <v>73</v>
      </c>
      <c r="H444">
        <v>69</v>
      </c>
      <c r="I444" s="1">
        <f>AVERAGE(tblStudents[[#This Row],[Math Score]],tblStudents[[#This Row],[Reading Score]],tblStudents[[#This Row],[Writing Score]])</f>
        <v>67</v>
      </c>
      <c r="J444">
        <f>IF(tblStudents[[#This Row],[Average Score]]&gt;=60,1,0)</f>
        <v>1</v>
      </c>
      <c r="K444" t="str">
        <f>IF(tblStudents[[#This Row],[Average Score]]&gt;=60,"Pass","At Risk")</f>
        <v>Pass</v>
      </c>
      <c r="L444" t="str" cm="1">
        <f t="array" ref="L444">_xlfn.IFS(tblStudents[[#This Row],[Average Score]]&gt;=80,"High",tblStudents[[#This Row],[Average Score]]&gt;=60,"Meets Standard",TRUE,"At Risk")</f>
        <v>Meets Standard</v>
      </c>
      <c r="M4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45" spans="1:13" x14ac:dyDescent="0.25">
      <c r="A445" t="s">
        <v>0</v>
      </c>
      <c r="B445" t="s">
        <v>1</v>
      </c>
      <c r="C445" t="s">
        <v>11</v>
      </c>
      <c r="D445" t="s">
        <v>3</v>
      </c>
      <c r="E445" t="s">
        <v>4</v>
      </c>
      <c r="F445">
        <v>73</v>
      </c>
      <c r="G445">
        <v>83</v>
      </c>
      <c r="H445">
        <v>76</v>
      </c>
      <c r="I445" s="1">
        <f>AVERAGE(tblStudents[[#This Row],[Math Score]],tblStudents[[#This Row],[Reading Score]],tblStudents[[#This Row],[Writing Score]])</f>
        <v>77.333333333333329</v>
      </c>
      <c r="J445">
        <f>IF(tblStudents[[#This Row],[Average Score]]&gt;=60,1,0)</f>
        <v>1</v>
      </c>
      <c r="K445" t="str">
        <f>IF(tblStudents[[#This Row],[Average Score]]&gt;=60,"Pass","At Risk")</f>
        <v>Pass</v>
      </c>
      <c r="L445" t="str" cm="1">
        <f t="array" ref="L445">_xlfn.IFS(tblStudents[[#This Row],[Average Score]]&gt;=80,"High",tblStudents[[#This Row],[Average Score]]&gt;=60,"Meets Standard",TRUE,"At Risk")</f>
        <v>Meets Standard</v>
      </c>
      <c r="M4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46" spans="1:13" x14ac:dyDescent="0.25">
      <c r="A446" t="s">
        <v>9</v>
      </c>
      <c r="B446" t="s">
        <v>10</v>
      </c>
      <c r="C446" t="s">
        <v>15</v>
      </c>
      <c r="D446" t="s">
        <v>12</v>
      </c>
      <c r="E446" t="s">
        <v>4</v>
      </c>
      <c r="F446">
        <v>79</v>
      </c>
      <c r="G446">
        <v>82</v>
      </c>
      <c r="H446">
        <v>73</v>
      </c>
      <c r="I446" s="1">
        <f>AVERAGE(tblStudents[[#This Row],[Math Score]],tblStudents[[#This Row],[Reading Score]],tblStudents[[#This Row],[Writing Score]])</f>
        <v>78</v>
      </c>
      <c r="J446">
        <f>IF(tblStudents[[#This Row],[Average Score]]&gt;=60,1,0)</f>
        <v>1</v>
      </c>
      <c r="K446" t="str">
        <f>IF(tblStudents[[#This Row],[Average Score]]&gt;=60,"Pass","At Risk")</f>
        <v>Pass</v>
      </c>
      <c r="L446" t="str" cm="1">
        <f t="array" ref="L446">_xlfn.IFS(tblStudents[[#This Row],[Average Score]]&gt;=80,"High",tblStudents[[#This Row],[Average Score]]&gt;=60,"Meets Standard",TRUE,"At Risk")</f>
        <v>Meets Standard</v>
      </c>
      <c r="M4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47" spans="1:13" x14ac:dyDescent="0.25">
      <c r="A447" t="s">
        <v>0</v>
      </c>
      <c r="B447" t="s">
        <v>5</v>
      </c>
      <c r="C447" t="s">
        <v>15</v>
      </c>
      <c r="D447" t="s">
        <v>3</v>
      </c>
      <c r="E447" t="s">
        <v>7</v>
      </c>
      <c r="F447">
        <v>67</v>
      </c>
      <c r="G447">
        <v>74</v>
      </c>
      <c r="H447">
        <v>77</v>
      </c>
      <c r="I447" s="1">
        <f>AVERAGE(tblStudents[[#This Row],[Math Score]],tblStudents[[#This Row],[Reading Score]],tblStudents[[#This Row],[Writing Score]])</f>
        <v>72.666666666666671</v>
      </c>
      <c r="J447">
        <f>IF(tblStudents[[#This Row],[Average Score]]&gt;=60,1,0)</f>
        <v>1</v>
      </c>
      <c r="K447" t="str">
        <f>IF(tblStudents[[#This Row],[Average Score]]&gt;=60,"Pass","At Risk")</f>
        <v>Pass</v>
      </c>
      <c r="L447" t="str" cm="1">
        <f t="array" ref="L447">_xlfn.IFS(tblStudents[[#This Row],[Average Score]]&gt;=80,"High",tblStudents[[#This Row],[Average Score]]&gt;=60,"Meets Standard",TRUE,"At Risk")</f>
        <v>Meets Standard</v>
      </c>
      <c r="M4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48" spans="1:13" x14ac:dyDescent="0.25">
      <c r="A448" t="s">
        <v>9</v>
      </c>
      <c r="B448" t="s">
        <v>13</v>
      </c>
      <c r="C448" t="s">
        <v>6</v>
      </c>
      <c r="D448" t="s">
        <v>12</v>
      </c>
      <c r="E448" t="s">
        <v>4</v>
      </c>
      <c r="F448">
        <v>69</v>
      </c>
      <c r="G448">
        <v>66</v>
      </c>
      <c r="H448">
        <v>60</v>
      </c>
      <c r="I448" s="1">
        <f>AVERAGE(tblStudents[[#This Row],[Math Score]],tblStudents[[#This Row],[Reading Score]],tblStudents[[#This Row],[Writing Score]])</f>
        <v>65</v>
      </c>
      <c r="J448">
        <f>IF(tblStudents[[#This Row],[Average Score]]&gt;=60,1,0)</f>
        <v>1</v>
      </c>
      <c r="K448" t="str">
        <f>IF(tblStudents[[#This Row],[Average Score]]&gt;=60,"Pass","At Risk")</f>
        <v>Pass</v>
      </c>
      <c r="L448" t="str" cm="1">
        <f t="array" ref="L448">_xlfn.IFS(tblStudents[[#This Row],[Average Score]]&gt;=80,"High",tblStudents[[#This Row],[Average Score]]&gt;=60,"Meets Standard",TRUE,"At Risk")</f>
        <v>Meets Standard</v>
      </c>
      <c r="M4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49" spans="1:13" x14ac:dyDescent="0.25">
      <c r="A449" t="s">
        <v>9</v>
      </c>
      <c r="B449" t="s">
        <v>5</v>
      </c>
      <c r="C449" t="s">
        <v>14</v>
      </c>
      <c r="D449" t="s">
        <v>3</v>
      </c>
      <c r="E449" t="s">
        <v>7</v>
      </c>
      <c r="F449">
        <v>86</v>
      </c>
      <c r="G449">
        <v>81</v>
      </c>
      <c r="H449">
        <v>80</v>
      </c>
      <c r="I449" s="1">
        <f>AVERAGE(tblStudents[[#This Row],[Math Score]],tblStudents[[#This Row],[Reading Score]],tblStudents[[#This Row],[Writing Score]])</f>
        <v>82.333333333333329</v>
      </c>
      <c r="J449">
        <f>IF(tblStudents[[#This Row],[Average Score]]&gt;=60,1,0)</f>
        <v>1</v>
      </c>
      <c r="K449" t="str">
        <f>IF(tblStudents[[#This Row],[Average Score]]&gt;=60,"Pass","At Risk")</f>
        <v>Pass</v>
      </c>
      <c r="L449" t="str" cm="1">
        <f t="array" ref="L449">_xlfn.IFS(tblStudents[[#This Row],[Average Score]]&gt;=80,"High",tblStudents[[#This Row],[Average Score]]&gt;=60,"Meets Standard",TRUE,"At Risk")</f>
        <v>High</v>
      </c>
      <c r="M4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50" spans="1:13" x14ac:dyDescent="0.25">
      <c r="A450" t="s">
        <v>9</v>
      </c>
      <c r="B450" t="s">
        <v>1</v>
      </c>
      <c r="C450" t="s">
        <v>14</v>
      </c>
      <c r="D450" t="s">
        <v>3</v>
      </c>
      <c r="E450" t="s">
        <v>4</v>
      </c>
      <c r="F450">
        <v>47</v>
      </c>
      <c r="G450">
        <v>46</v>
      </c>
      <c r="H450">
        <v>42</v>
      </c>
      <c r="I450" s="1">
        <f>AVERAGE(tblStudents[[#This Row],[Math Score]],tblStudents[[#This Row],[Reading Score]],tblStudents[[#This Row],[Writing Score]])</f>
        <v>45</v>
      </c>
      <c r="J450">
        <f>IF(tblStudents[[#This Row],[Average Score]]&gt;=60,1,0)</f>
        <v>0</v>
      </c>
      <c r="K450" t="str">
        <f>IF(tblStudents[[#This Row],[Average Score]]&gt;=60,"Pass","At Risk")</f>
        <v>At Risk</v>
      </c>
      <c r="L450" t="str" cm="1">
        <f t="array" ref="L450">_xlfn.IFS(tblStudents[[#This Row],[Average Score]]&gt;=80,"High",tblStudents[[#This Row],[Average Score]]&gt;=60,"Meets Standard",TRUE,"At Risk")</f>
        <v>At Risk</v>
      </c>
      <c r="M4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51" spans="1:13" x14ac:dyDescent="0.25">
      <c r="A451" t="s">
        <v>9</v>
      </c>
      <c r="B451" t="s">
        <v>1</v>
      </c>
      <c r="C451" t="s">
        <v>11</v>
      </c>
      <c r="D451" t="s">
        <v>3</v>
      </c>
      <c r="E451" t="s">
        <v>4</v>
      </c>
      <c r="F451">
        <v>81</v>
      </c>
      <c r="G451">
        <v>73</v>
      </c>
      <c r="H451">
        <v>72</v>
      </c>
      <c r="I451" s="1">
        <f>AVERAGE(tblStudents[[#This Row],[Math Score]],tblStudents[[#This Row],[Reading Score]],tblStudents[[#This Row],[Writing Score]])</f>
        <v>75.333333333333329</v>
      </c>
      <c r="J451">
        <f>IF(tblStudents[[#This Row],[Average Score]]&gt;=60,1,0)</f>
        <v>1</v>
      </c>
      <c r="K451" t="str">
        <f>IF(tblStudents[[#This Row],[Average Score]]&gt;=60,"Pass","At Risk")</f>
        <v>Pass</v>
      </c>
      <c r="L451" t="str" cm="1">
        <f t="array" ref="L451">_xlfn.IFS(tblStudents[[#This Row],[Average Score]]&gt;=80,"High",tblStudents[[#This Row],[Average Score]]&gt;=60,"Meets Standard",TRUE,"At Risk")</f>
        <v>Meets Standard</v>
      </c>
      <c r="M4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52" spans="1:13" x14ac:dyDescent="0.25">
      <c r="A452" t="s">
        <v>0</v>
      </c>
      <c r="B452" t="s">
        <v>5</v>
      </c>
      <c r="C452" t="s">
        <v>6</v>
      </c>
      <c r="D452" t="s">
        <v>12</v>
      </c>
      <c r="E452" t="s">
        <v>7</v>
      </c>
      <c r="F452">
        <v>64</v>
      </c>
      <c r="G452">
        <v>85</v>
      </c>
      <c r="H452">
        <v>85</v>
      </c>
      <c r="I452" s="1">
        <f>AVERAGE(tblStudents[[#This Row],[Math Score]],tblStudents[[#This Row],[Reading Score]],tblStudents[[#This Row],[Writing Score]])</f>
        <v>78</v>
      </c>
      <c r="J452">
        <f>IF(tblStudents[[#This Row],[Average Score]]&gt;=60,1,0)</f>
        <v>1</v>
      </c>
      <c r="K452" t="str">
        <f>IF(tblStudents[[#This Row],[Average Score]]&gt;=60,"Pass","At Risk")</f>
        <v>Pass</v>
      </c>
      <c r="L452" t="str" cm="1">
        <f t="array" ref="L452">_xlfn.IFS(tblStudents[[#This Row],[Average Score]]&gt;=80,"High",tblStudents[[#This Row],[Average Score]]&gt;=60,"Meets Standard",TRUE,"At Risk")</f>
        <v>Meets Standard</v>
      </c>
      <c r="M4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453" spans="1:13" x14ac:dyDescent="0.25">
      <c r="A453" t="s">
        <v>0</v>
      </c>
      <c r="B453" t="s">
        <v>16</v>
      </c>
      <c r="C453" t="s">
        <v>6</v>
      </c>
      <c r="D453" t="s">
        <v>3</v>
      </c>
      <c r="E453" t="s">
        <v>4</v>
      </c>
      <c r="F453">
        <v>100</v>
      </c>
      <c r="G453">
        <v>92</v>
      </c>
      <c r="H453">
        <v>97</v>
      </c>
      <c r="I453" s="1">
        <f>AVERAGE(tblStudents[[#This Row],[Math Score]],tblStudents[[#This Row],[Reading Score]],tblStudents[[#This Row],[Writing Score]])</f>
        <v>96.333333333333329</v>
      </c>
      <c r="J453">
        <f>IF(tblStudents[[#This Row],[Average Score]]&gt;=60,1,0)</f>
        <v>1</v>
      </c>
      <c r="K453" t="str">
        <f>IF(tblStudents[[#This Row],[Average Score]]&gt;=60,"Pass","At Risk")</f>
        <v>Pass</v>
      </c>
      <c r="L453" t="str" cm="1">
        <f t="array" ref="L453">_xlfn.IFS(tblStudents[[#This Row],[Average Score]]&gt;=80,"High",tblStudents[[#This Row],[Average Score]]&gt;=60,"Meets Standard",TRUE,"At Risk")</f>
        <v>High</v>
      </c>
      <c r="M4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454" spans="1:13" x14ac:dyDescent="0.25">
      <c r="A454" t="s">
        <v>0</v>
      </c>
      <c r="B454" t="s">
        <v>5</v>
      </c>
      <c r="C454" t="s">
        <v>11</v>
      </c>
      <c r="D454" t="s">
        <v>12</v>
      </c>
      <c r="E454" t="s">
        <v>4</v>
      </c>
      <c r="F454">
        <v>65</v>
      </c>
      <c r="G454">
        <v>77</v>
      </c>
      <c r="H454">
        <v>74</v>
      </c>
      <c r="I454" s="1">
        <f>AVERAGE(tblStudents[[#This Row],[Math Score]],tblStudents[[#This Row],[Reading Score]],tblStudents[[#This Row],[Writing Score]])</f>
        <v>72</v>
      </c>
      <c r="J454">
        <f>IF(tblStudents[[#This Row],[Average Score]]&gt;=60,1,0)</f>
        <v>1</v>
      </c>
      <c r="K454" t="str">
        <f>IF(tblStudents[[#This Row],[Average Score]]&gt;=60,"Pass","At Risk")</f>
        <v>Pass</v>
      </c>
      <c r="L454" t="str" cm="1">
        <f t="array" ref="L454">_xlfn.IFS(tblStudents[[#This Row],[Average Score]]&gt;=80,"High",tblStudents[[#This Row],[Average Score]]&gt;=60,"Meets Standard",TRUE,"At Risk")</f>
        <v>Meets Standard</v>
      </c>
      <c r="M4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55" spans="1:13" x14ac:dyDescent="0.25">
      <c r="A455" t="s">
        <v>9</v>
      </c>
      <c r="B455" t="s">
        <v>5</v>
      </c>
      <c r="C455" t="s">
        <v>6</v>
      </c>
      <c r="D455" t="s">
        <v>12</v>
      </c>
      <c r="E455" t="s">
        <v>4</v>
      </c>
      <c r="F455">
        <v>65</v>
      </c>
      <c r="G455">
        <v>58</v>
      </c>
      <c r="H455">
        <v>49</v>
      </c>
      <c r="I455" s="1">
        <f>AVERAGE(tblStudents[[#This Row],[Math Score]],tblStudents[[#This Row],[Reading Score]],tblStudents[[#This Row],[Writing Score]])</f>
        <v>57.333333333333336</v>
      </c>
      <c r="J455">
        <f>IF(tblStudents[[#This Row],[Average Score]]&gt;=60,1,0)</f>
        <v>0</v>
      </c>
      <c r="K455" t="str">
        <f>IF(tblStudents[[#This Row],[Average Score]]&gt;=60,"Pass","At Risk")</f>
        <v>At Risk</v>
      </c>
      <c r="L455" t="str" cm="1">
        <f t="array" ref="L455">_xlfn.IFS(tblStudents[[#This Row],[Average Score]]&gt;=80,"High",tblStudents[[#This Row],[Average Score]]&gt;=60,"Meets Standard",TRUE,"At Risk")</f>
        <v>At Risk</v>
      </c>
      <c r="M4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456" spans="1:13" x14ac:dyDescent="0.25">
      <c r="A456" t="s">
        <v>0</v>
      </c>
      <c r="B456" t="s">
        <v>5</v>
      </c>
      <c r="C456" t="s">
        <v>11</v>
      </c>
      <c r="D456" t="s">
        <v>12</v>
      </c>
      <c r="E456" t="s">
        <v>4</v>
      </c>
      <c r="F456">
        <v>53</v>
      </c>
      <c r="G456">
        <v>61</v>
      </c>
      <c r="H456">
        <v>62</v>
      </c>
      <c r="I456" s="1">
        <f>AVERAGE(tblStudents[[#This Row],[Math Score]],tblStudents[[#This Row],[Reading Score]],tblStudents[[#This Row],[Writing Score]])</f>
        <v>58.666666666666664</v>
      </c>
      <c r="J456">
        <f>IF(tblStudents[[#This Row],[Average Score]]&gt;=60,1,0)</f>
        <v>0</v>
      </c>
      <c r="K456" t="str">
        <f>IF(tblStudents[[#This Row],[Average Score]]&gt;=60,"Pass","At Risk")</f>
        <v>At Risk</v>
      </c>
      <c r="L456" t="str" cm="1">
        <f t="array" ref="L456">_xlfn.IFS(tblStudents[[#This Row],[Average Score]]&gt;=80,"High",tblStudents[[#This Row],[Average Score]]&gt;=60,"Meets Standard",TRUE,"At Risk")</f>
        <v>At Risk</v>
      </c>
      <c r="M4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57" spans="1:13" x14ac:dyDescent="0.25">
      <c r="A457" t="s">
        <v>9</v>
      </c>
      <c r="B457" t="s">
        <v>5</v>
      </c>
      <c r="C457" t="s">
        <v>2</v>
      </c>
      <c r="D457" t="s">
        <v>12</v>
      </c>
      <c r="E457" t="s">
        <v>4</v>
      </c>
      <c r="F457">
        <v>37</v>
      </c>
      <c r="G457">
        <v>56</v>
      </c>
      <c r="H457">
        <v>47</v>
      </c>
      <c r="I457" s="1">
        <f>AVERAGE(tblStudents[[#This Row],[Math Score]],tblStudents[[#This Row],[Reading Score]],tblStudents[[#This Row],[Writing Score]])</f>
        <v>46.666666666666664</v>
      </c>
      <c r="J457">
        <f>IF(tblStudents[[#This Row],[Average Score]]&gt;=60,1,0)</f>
        <v>0</v>
      </c>
      <c r="K457" t="str">
        <f>IF(tblStudents[[#This Row],[Average Score]]&gt;=60,"Pass","At Risk")</f>
        <v>At Risk</v>
      </c>
      <c r="L457" t="str" cm="1">
        <f t="array" ref="L457">_xlfn.IFS(tblStudents[[#This Row],[Average Score]]&gt;=80,"High",tblStudents[[#This Row],[Average Score]]&gt;=60,"Meets Standard",TRUE,"At Risk")</f>
        <v>At Risk</v>
      </c>
      <c r="M4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458" spans="1:13" x14ac:dyDescent="0.25">
      <c r="A458" t="s">
        <v>0</v>
      </c>
      <c r="B458" t="s">
        <v>13</v>
      </c>
      <c r="C458" t="s">
        <v>2</v>
      </c>
      <c r="D458" t="s">
        <v>3</v>
      </c>
      <c r="E458" t="s">
        <v>4</v>
      </c>
      <c r="F458">
        <v>79</v>
      </c>
      <c r="G458">
        <v>89</v>
      </c>
      <c r="H458">
        <v>89</v>
      </c>
      <c r="I458" s="1">
        <f>AVERAGE(tblStudents[[#This Row],[Math Score]],tblStudents[[#This Row],[Reading Score]],tblStudents[[#This Row],[Writing Score]])</f>
        <v>85.666666666666671</v>
      </c>
      <c r="J458">
        <f>IF(tblStudents[[#This Row],[Average Score]]&gt;=60,1,0)</f>
        <v>1</v>
      </c>
      <c r="K458" t="str">
        <f>IF(tblStudents[[#This Row],[Average Score]]&gt;=60,"Pass","At Risk")</f>
        <v>Pass</v>
      </c>
      <c r="L458" t="str" cm="1">
        <f t="array" ref="L458">_xlfn.IFS(tblStudents[[#This Row],[Average Score]]&gt;=80,"High",tblStudents[[#This Row],[Average Score]]&gt;=60,"Meets Standard",TRUE,"At Risk")</f>
        <v>High</v>
      </c>
      <c r="M4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459" spans="1:13" x14ac:dyDescent="0.25">
      <c r="A459" t="s">
        <v>9</v>
      </c>
      <c r="B459" t="s">
        <v>13</v>
      </c>
      <c r="C459" t="s">
        <v>11</v>
      </c>
      <c r="D459" t="s">
        <v>12</v>
      </c>
      <c r="E459" t="s">
        <v>4</v>
      </c>
      <c r="F459">
        <v>53</v>
      </c>
      <c r="G459">
        <v>54</v>
      </c>
      <c r="H459">
        <v>48</v>
      </c>
      <c r="I459" s="1">
        <f>AVERAGE(tblStudents[[#This Row],[Math Score]],tblStudents[[#This Row],[Reading Score]],tblStudents[[#This Row],[Writing Score]])</f>
        <v>51.666666666666664</v>
      </c>
      <c r="J459">
        <f>IF(tblStudents[[#This Row],[Average Score]]&gt;=60,1,0)</f>
        <v>0</v>
      </c>
      <c r="K459" t="str">
        <f>IF(tblStudents[[#This Row],[Average Score]]&gt;=60,"Pass","At Risk")</f>
        <v>At Risk</v>
      </c>
      <c r="L459" t="str" cm="1">
        <f t="array" ref="L459">_xlfn.IFS(tblStudents[[#This Row],[Average Score]]&gt;=80,"High",tblStudents[[#This Row],[Average Score]]&gt;=60,"Meets Standard",TRUE,"At Risk")</f>
        <v>At Risk</v>
      </c>
      <c r="M4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60" spans="1:13" x14ac:dyDescent="0.25">
      <c r="A460" t="s">
        <v>0</v>
      </c>
      <c r="B460" t="s">
        <v>16</v>
      </c>
      <c r="C460" t="s">
        <v>2</v>
      </c>
      <c r="D460" t="s">
        <v>3</v>
      </c>
      <c r="E460" t="s">
        <v>4</v>
      </c>
      <c r="F460">
        <v>100</v>
      </c>
      <c r="G460">
        <v>100</v>
      </c>
      <c r="H460">
        <v>100</v>
      </c>
      <c r="I460" s="1">
        <f>AVERAGE(tblStudents[[#This Row],[Math Score]],tblStudents[[#This Row],[Reading Score]],tblStudents[[#This Row],[Writing Score]])</f>
        <v>100</v>
      </c>
      <c r="J460">
        <f>IF(tblStudents[[#This Row],[Average Score]]&gt;=60,1,0)</f>
        <v>1</v>
      </c>
      <c r="K460" t="str">
        <f>IF(tblStudents[[#This Row],[Average Score]]&gt;=60,"Pass","At Risk")</f>
        <v>Pass</v>
      </c>
      <c r="L460" t="str" cm="1">
        <f t="array" ref="L460">_xlfn.IFS(tblStudents[[#This Row],[Average Score]]&gt;=80,"High",tblStudents[[#This Row],[Average Score]]&gt;=60,"Meets Standard",TRUE,"At Risk")</f>
        <v>High</v>
      </c>
      <c r="M4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0</v>
      </c>
    </row>
    <row r="461" spans="1:13" x14ac:dyDescent="0.25">
      <c r="A461" t="s">
        <v>9</v>
      </c>
      <c r="B461" t="s">
        <v>1</v>
      </c>
      <c r="C461" t="s">
        <v>14</v>
      </c>
      <c r="D461" t="s">
        <v>3</v>
      </c>
      <c r="E461" t="s">
        <v>7</v>
      </c>
      <c r="F461">
        <v>72</v>
      </c>
      <c r="G461">
        <v>65</v>
      </c>
      <c r="H461">
        <v>68</v>
      </c>
      <c r="I461" s="1">
        <f>AVERAGE(tblStudents[[#This Row],[Math Score]],tblStudents[[#This Row],[Reading Score]],tblStudents[[#This Row],[Writing Score]])</f>
        <v>68.333333333333329</v>
      </c>
      <c r="J461">
        <f>IF(tblStudents[[#This Row],[Average Score]]&gt;=60,1,0)</f>
        <v>1</v>
      </c>
      <c r="K461" t="str">
        <f>IF(tblStudents[[#This Row],[Average Score]]&gt;=60,"Pass","At Risk")</f>
        <v>Pass</v>
      </c>
      <c r="L461" t="str" cm="1">
        <f t="array" ref="L461">_xlfn.IFS(tblStudents[[#This Row],[Average Score]]&gt;=80,"High",tblStudents[[#This Row],[Average Score]]&gt;=60,"Meets Standard",TRUE,"At Risk")</f>
        <v>Meets Standard</v>
      </c>
      <c r="M4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62" spans="1:13" x14ac:dyDescent="0.25">
      <c r="A462" t="s">
        <v>9</v>
      </c>
      <c r="B462" t="s">
        <v>5</v>
      </c>
      <c r="C462" t="s">
        <v>2</v>
      </c>
      <c r="D462" t="s">
        <v>12</v>
      </c>
      <c r="E462" t="s">
        <v>4</v>
      </c>
      <c r="F462">
        <v>53</v>
      </c>
      <c r="G462">
        <v>58</v>
      </c>
      <c r="H462">
        <v>55</v>
      </c>
      <c r="I462" s="1">
        <f>AVERAGE(tblStudents[[#This Row],[Math Score]],tblStudents[[#This Row],[Reading Score]],tblStudents[[#This Row],[Writing Score]])</f>
        <v>55.333333333333336</v>
      </c>
      <c r="J462">
        <f>IF(tblStudents[[#This Row],[Average Score]]&gt;=60,1,0)</f>
        <v>0</v>
      </c>
      <c r="K462" t="str">
        <f>IF(tblStudents[[#This Row],[Average Score]]&gt;=60,"Pass","At Risk")</f>
        <v>At Risk</v>
      </c>
      <c r="L462" t="str" cm="1">
        <f t="array" ref="L462">_xlfn.IFS(tblStudents[[#This Row],[Average Score]]&gt;=80,"High",tblStudents[[#This Row],[Average Score]]&gt;=60,"Meets Standard",TRUE,"At Risk")</f>
        <v>At Risk</v>
      </c>
      <c r="M4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63" spans="1:13" x14ac:dyDescent="0.25">
      <c r="A463" t="s">
        <v>9</v>
      </c>
      <c r="B463" t="s">
        <v>1</v>
      </c>
      <c r="C463" t="s">
        <v>6</v>
      </c>
      <c r="D463" t="s">
        <v>12</v>
      </c>
      <c r="E463" t="s">
        <v>4</v>
      </c>
      <c r="F463">
        <v>54</v>
      </c>
      <c r="G463">
        <v>54</v>
      </c>
      <c r="H463">
        <v>45</v>
      </c>
      <c r="I463" s="1">
        <f>AVERAGE(tblStudents[[#This Row],[Math Score]],tblStudents[[#This Row],[Reading Score]],tblStudents[[#This Row],[Writing Score]])</f>
        <v>51</v>
      </c>
      <c r="J463">
        <f>IF(tblStudents[[#This Row],[Average Score]]&gt;=60,1,0)</f>
        <v>0</v>
      </c>
      <c r="K463" t="str">
        <f>IF(tblStudents[[#This Row],[Average Score]]&gt;=60,"Pass","At Risk")</f>
        <v>At Risk</v>
      </c>
      <c r="L463" t="str" cm="1">
        <f t="array" ref="L463">_xlfn.IFS(tblStudents[[#This Row],[Average Score]]&gt;=80,"High",tblStudents[[#This Row],[Average Score]]&gt;=60,"Meets Standard",TRUE,"At Risk")</f>
        <v>At Risk</v>
      </c>
      <c r="M4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64" spans="1:13" x14ac:dyDescent="0.25">
      <c r="A464" t="s">
        <v>0</v>
      </c>
      <c r="B464" t="s">
        <v>16</v>
      </c>
      <c r="C464" t="s">
        <v>6</v>
      </c>
      <c r="D464" t="s">
        <v>3</v>
      </c>
      <c r="E464" t="s">
        <v>4</v>
      </c>
      <c r="F464">
        <v>71</v>
      </c>
      <c r="G464">
        <v>70</v>
      </c>
      <c r="H464">
        <v>76</v>
      </c>
      <c r="I464" s="1">
        <f>AVERAGE(tblStudents[[#This Row],[Math Score]],tblStudents[[#This Row],[Reading Score]],tblStudents[[#This Row],[Writing Score]])</f>
        <v>72.333333333333329</v>
      </c>
      <c r="J464">
        <f>IF(tblStudents[[#This Row],[Average Score]]&gt;=60,1,0)</f>
        <v>1</v>
      </c>
      <c r="K464" t="str">
        <f>IF(tblStudents[[#This Row],[Average Score]]&gt;=60,"Pass","At Risk")</f>
        <v>Pass</v>
      </c>
      <c r="L464" t="str" cm="1">
        <f t="array" ref="L464">_xlfn.IFS(tblStudents[[#This Row],[Average Score]]&gt;=80,"High",tblStudents[[#This Row],[Average Score]]&gt;=60,"Meets Standard",TRUE,"At Risk")</f>
        <v>Meets Standard</v>
      </c>
      <c r="M4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65" spans="1:13" x14ac:dyDescent="0.25">
      <c r="A465" t="s">
        <v>0</v>
      </c>
      <c r="B465" t="s">
        <v>5</v>
      </c>
      <c r="C465" t="s">
        <v>6</v>
      </c>
      <c r="D465" t="s">
        <v>12</v>
      </c>
      <c r="E465" t="s">
        <v>4</v>
      </c>
      <c r="F465">
        <v>77</v>
      </c>
      <c r="G465">
        <v>90</v>
      </c>
      <c r="H465">
        <v>91</v>
      </c>
      <c r="I465" s="1">
        <f>AVERAGE(tblStudents[[#This Row],[Math Score]],tblStudents[[#This Row],[Reading Score]],tblStudents[[#This Row],[Writing Score]])</f>
        <v>86</v>
      </c>
      <c r="J465">
        <f>IF(tblStudents[[#This Row],[Average Score]]&gt;=60,1,0)</f>
        <v>1</v>
      </c>
      <c r="K465" t="str">
        <f>IF(tblStudents[[#This Row],[Average Score]]&gt;=60,"Pass","At Risk")</f>
        <v>Pass</v>
      </c>
      <c r="L465" t="str" cm="1">
        <f t="array" ref="L465">_xlfn.IFS(tblStudents[[#This Row],[Average Score]]&gt;=80,"High",tblStudents[[#This Row],[Average Score]]&gt;=60,"Meets Standard",TRUE,"At Risk")</f>
        <v>High</v>
      </c>
      <c r="M4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66" spans="1:13" x14ac:dyDescent="0.25">
      <c r="A466" t="s">
        <v>9</v>
      </c>
      <c r="B466" t="s">
        <v>10</v>
      </c>
      <c r="C466" t="s">
        <v>2</v>
      </c>
      <c r="D466" t="s">
        <v>3</v>
      </c>
      <c r="E466" t="s">
        <v>7</v>
      </c>
      <c r="F466">
        <v>75</v>
      </c>
      <c r="G466">
        <v>58</v>
      </c>
      <c r="H466">
        <v>62</v>
      </c>
      <c r="I466" s="1">
        <f>AVERAGE(tblStudents[[#This Row],[Math Score]],tblStudents[[#This Row],[Reading Score]],tblStudents[[#This Row],[Writing Score]])</f>
        <v>65</v>
      </c>
      <c r="J466">
        <f>IF(tblStudents[[#This Row],[Average Score]]&gt;=60,1,0)</f>
        <v>1</v>
      </c>
      <c r="K466" t="str">
        <f>IF(tblStudents[[#This Row],[Average Score]]&gt;=60,"Pass","At Risk")</f>
        <v>Pass</v>
      </c>
      <c r="L466" t="str" cm="1">
        <f t="array" ref="L466">_xlfn.IFS(tblStudents[[#This Row],[Average Score]]&gt;=80,"High",tblStudents[[#This Row],[Average Score]]&gt;=60,"Meets Standard",TRUE,"At Risk")</f>
        <v>Meets Standard</v>
      </c>
      <c r="M4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467" spans="1:13" x14ac:dyDescent="0.25">
      <c r="A467" t="s">
        <v>0</v>
      </c>
      <c r="B467" t="s">
        <v>5</v>
      </c>
      <c r="C467" t="s">
        <v>6</v>
      </c>
      <c r="D467" t="s">
        <v>3</v>
      </c>
      <c r="E467" t="s">
        <v>4</v>
      </c>
      <c r="F467">
        <v>84</v>
      </c>
      <c r="G467">
        <v>87</v>
      </c>
      <c r="H467">
        <v>91</v>
      </c>
      <c r="I467" s="1">
        <f>AVERAGE(tblStudents[[#This Row],[Math Score]],tblStudents[[#This Row],[Reading Score]],tblStudents[[#This Row],[Writing Score]])</f>
        <v>87.333333333333329</v>
      </c>
      <c r="J467">
        <f>IF(tblStudents[[#This Row],[Average Score]]&gt;=60,1,0)</f>
        <v>1</v>
      </c>
      <c r="K467" t="str">
        <f>IF(tblStudents[[#This Row],[Average Score]]&gt;=60,"Pass","At Risk")</f>
        <v>Pass</v>
      </c>
      <c r="L467" t="str" cm="1">
        <f t="array" ref="L467">_xlfn.IFS(tblStudents[[#This Row],[Average Score]]&gt;=80,"High",tblStudents[[#This Row],[Average Score]]&gt;=60,"Meets Standard",TRUE,"At Risk")</f>
        <v>High</v>
      </c>
      <c r="M4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68" spans="1:13" x14ac:dyDescent="0.25">
      <c r="A468" t="s">
        <v>0</v>
      </c>
      <c r="B468" t="s">
        <v>13</v>
      </c>
      <c r="C468" t="s">
        <v>11</v>
      </c>
      <c r="D468" t="s">
        <v>12</v>
      </c>
      <c r="E468" t="s">
        <v>4</v>
      </c>
      <c r="F468">
        <v>26</v>
      </c>
      <c r="G468">
        <v>31</v>
      </c>
      <c r="H468">
        <v>38</v>
      </c>
      <c r="I468" s="1">
        <f>AVERAGE(tblStudents[[#This Row],[Math Score]],tblStudents[[#This Row],[Reading Score]],tblStudents[[#This Row],[Writing Score]])</f>
        <v>31.666666666666668</v>
      </c>
      <c r="J468">
        <f>IF(tblStudents[[#This Row],[Average Score]]&gt;=60,1,0)</f>
        <v>0</v>
      </c>
      <c r="K468" t="str">
        <f>IF(tblStudents[[#This Row],[Average Score]]&gt;=60,"Pass","At Risk")</f>
        <v>At Risk</v>
      </c>
      <c r="L468" t="str" cm="1">
        <f t="array" ref="L468">_xlfn.IFS(tblStudents[[#This Row],[Average Score]]&gt;=80,"High",tblStudents[[#This Row],[Average Score]]&gt;=60,"Meets Standard",TRUE,"At Risk")</f>
        <v>At Risk</v>
      </c>
      <c r="M4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69" spans="1:13" x14ac:dyDescent="0.25">
      <c r="A469" t="s">
        <v>9</v>
      </c>
      <c r="B469" t="s">
        <v>10</v>
      </c>
      <c r="C469" t="s">
        <v>14</v>
      </c>
      <c r="D469" t="s">
        <v>12</v>
      </c>
      <c r="E469" t="s">
        <v>7</v>
      </c>
      <c r="F469">
        <v>72</v>
      </c>
      <c r="G469">
        <v>67</v>
      </c>
      <c r="H469">
        <v>65</v>
      </c>
      <c r="I469" s="1">
        <f>AVERAGE(tblStudents[[#This Row],[Math Score]],tblStudents[[#This Row],[Reading Score]],tblStudents[[#This Row],[Writing Score]])</f>
        <v>68</v>
      </c>
      <c r="J469">
        <f>IF(tblStudents[[#This Row],[Average Score]]&gt;=60,1,0)</f>
        <v>1</v>
      </c>
      <c r="K469" t="str">
        <f>IF(tblStudents[[#This Row],[Average Score]]&gt;=60,"Pass","At Risk")</f>
        <v>Pass</v>
      </c>
      <c r="L469" t="str" cm="1">
        <f t="array" ref="L469">_xlfn.IFS(tblStudents[[#This Row],[Average Score]]&gt;=80,"High",tblStudents[[#This Row],[Average Score]]&gt;=60,"Meets Standard",TRUE,"At Risk")</f>
        <v>Meets Standard</v>
      </c>
      <c r="M4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70" spans="1:13" x14ac:dyDescent="0.25">
      <c r="A470" t="s">
        <v>0</v>
      </c>
      <c r="B470" t="s">
        <v>10</v>
      </c>
      <c r="C470" t="s">
        <v>14</v>
      </c>
      <c r="D470" t="s">
        <v>12</v>
      </c>
      <c r="E470" t="s">
        <v>7</v>
      </c>
      <c r="F470">
        <v>77</v>
      </c>
      <c r="G470">
        <v>88</v>
      </c>
      <c r="H470">
        <v>85</v>
      </c>
      <c r="I470" s="1">
        <f>AVERAGE(tblStudents[[#This Row],[Math Score]],tblStudents[[#This Row],[Reading Score]],tblStudents[[#This Row],[Writing Score]])</f>
        <v>83.333333333333329</v>
      </c>
      <c r="J470">
        <f>IF(tblStudents[[#This Row],[Average Score]]&gt;=60,1,0)</f>
        <v>1</v>
      </c>
      <c r="K470" t="str">
        <f>IF(tblStudents[[#This Row],[Average Score]]&gt;=60,"Pass","At Risk")</f>
        <v>Pass</v>
      </c>
      <c r="L470" t="str" cm="1">
        <f t="array" ref="L470">_xlfn.IFS(tblStudents[[#This Row],[Average Score]]&gt;=80,"High",tblStudents[[#This Row],[Average Score]]&gt;=60,"Meets Standard",TRUE,"At Risk")</f>
        <v>High</v>
      </c>
      <c r="M4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71" spans="1:13" x14ac:dyDescent="0.25">
      <c r="A471" t="s">
        <v>9</v>
      </c>
      <c r="B471" t="s">
        <v>5</v>
      </c>
      <c r="C471" t="s">
        <v>6</v>
      </c>
      <c r="D471" t="s">
        <v>3</v>
      </c>
      <c r="E471" t="s">
        <v>4</v>
      </c>
      <c r="F471">
        <v>91</v>
      </c>
      <c r="G471">
        <v>74</v>
      </c>
      <c r="H471">
        <v>76</v>
      </c>
      <c r="I471" s="1">
        <f>AVERAGE(tblStudents[[#This Row],[Math Score]],tblStudents[[#This Row],[Reading Score]],tblStudents[[#This Row],[Writing Score]])</f>
        <v>80.333333333333329</v>
      </c>
      <c r="J471">
        <f>IF(tblStudents[[#This Row],[Average Score]]&gt;=60,1,0)</f>
        <v>1</v>
      </c>
      <c r="K471" t="str">
        <f>IF(tblStudents[[#This Row],[Average Score]]&gt;=60,"Pass","At Risk")</f>
        <v>Pass</v>
      </c>
      <c r="L471" t="str" cm="1">
        <f t="array" ref="L471">_xlfn.IFS(tblStudents[[#This Row],[Average Score]]&gt;=80,"High",tblStudents[[#This Row],[Average Score]]&gt;=60,"Meets Standard",TRUE,"At Risk")</f>
        <v>High</v>
      </c>
      <c r="M4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472" spans="1:13" x14ac:dyDescent="0.25">
      <c r="A472" t="s">
        <v>0</v>
      </c>
      <c r="B472" t="s">
        <v>5</v>
      </c>
      <c r="C472" t="s">
        <v>11</v>
      </c>
      <c r="D472" t="s">
        <v>3</v>
      </c>
      <c r="E472" t="s">
        <v>7</v>
      </c>
      <c r="F472">
        <v>83</v>
      </c>
      <c r="G472">
        <v>85</v>
      </c>
      <c r="H472">
        <v>90</v>
      </c>
      <c r="I472" s="1">
        <f>AVERAGE(tblStudents[[#This Row],[Math Score]],tblStudents[[#This Row],[Reading Score]],tblStudents[[#This Row],[Writing Score]])</f>
        <v>86</v>
      </c>
      <c r="J472">
        <f>IF(tblStudents[[#This Row],[Average Score]]&gt;=60,1,0)</f>
        <v>1</v>
      </c>
      <c r="K472" t="str">
        <f>IF(tblStudents[[#This Row],[Average Score]]&gt;=60,"Pass","At Risk")</f>
        <v>Pass</v>
      </c>
      <c r="L472" t="str" cm="1">
        <f t="array" ref="L472">_xlfn.IFS(tblStudents[[#This Row],[Average Score]]&gt;=80,"High",tblStudents[[#This Row],[Average Score]]&gt;=60,"Meets Standard",TRUE,"At Risk")</f>
        <v>High</v>
      </c>
      <c r="M4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73" spans="1:13" x14ac:dyDescent="0.25">
      <c r="A473" t="s">
        <v>0</v>
      </c>
      <c r="B473" t="s">
        <v>5</v>
      </c>
      <c r="C473" t="s">
        <v>14</v>
      </c>
      <c r="D473" t="s">
        <v>3</v>
      </c>
      <c r="E473" t="s">
        <v>4</v>
      </c>
      <c r="F473">
        <v>63</v>
      </c>
      <c r="G473">
        <v>69</v>
      </c>
      <c r="H473">
        <v>74</v>
      </c>
      <c r="I473" s="1">
        <f>AVERAGE(tblStudents[[#This Row],[Math Score]],tblStudents[[#This Row],[Reading Score]],tblStudents[[#This Row],[Writing Score]])</f>
        <v>68.666666666666671</v>
      </c>
      <c r="J473">
        <f>IF(tblStudents[[#This Row],[Average Score]]&gt;=60,1,0)</f>
        <v>1</v>
      </c>
      <c r="K473" t="str">
        <f>IF(tblStudents[[#This Row],[Average Score]]&gt;=60,"Pass","At Risk")</f>
        <v>Pass</v>
      </c>
      <c r="L473" t="str" cm="1">
        <f t="array" ref="L473">_xlfn.IFS(tblStudents[[#This Row],[Average Score]]&gt;=80,"High",tblStudents[[#This Row],[Average Score]]&gt;=60,"Meets Standard",TRUE,"At Risk")</f>
        <v>Meets Standard</v>
      </c>
      <c r="M4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74" spans="1:13" x14ac:dyDescent="0.25">
      <c r="A474" t="s">
        <v>0</v>
      </c>
      <c r="B474" t="s">
        <v>5</v>
      </c>
      <c r="C474" t="s">
        <v>11</v>
      </c>
      <c r="D474" t="s">
        <v>3</v>
      </c>
      <c r="E474" t="s">
        <v>7</v>
      </c>
      <c r="F474">
        <v>68</v>
      </c>
      <c r="G474">
        <v>86</v>
      </c>
      <c r="H474">
        <v>84</v>
      </c>
      <c r="I474" s="1">
        <f>AVERAGE(tblStudents[[#This Row],[Math Score]],tblStudents[[#This Row],[Reading Score]],tblStudents[[#This Row],[Writing Score]])</f>
        <v>79.333333333333329</v>
      </c>
      <c r="J474">
        <f>IF(tblStudents[[#This Row],[Average Score]]&gt;=60,1,0)</f>
        <v>1</v>
      </c>
      <c r="K474" t="str">
        <f>IF(tblStudents[[#This Row],[Average Score]]&gt;=60,"Pass","At Risk")</f>
        <v>Pass</v>
      </c>
      <c r="L474" t="str" cm="1">
        <f t="array" ref="L474">_xlfn.IFS(tblStudents[[#This Row],[Average Score]]&gt;=80,"High",tblStudents[[#This Row],[Average Score]]&gt;=60,"Meets Standard",TRUE,"At Risk")</f>
        <v>Meets Standard</v>
      </c>
      <c r="M4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475" spans="1:13" x14ac:dyDescent="0.25">
      <c r="A475" t="s">
        <v>0</v>
      </c>
      <c r="B475" t="s">
        <v>13</v>
      </c>
      <c r="C475" t="s">
        <v>15</v>
      </c>
      <c r="D475" t="s">
        <v>3</v>
      </c>
      <c r="E475" t="s">
        <v>4</v>
      </c>
      <c r="F475">
        <v>59</v>
      </c>
      <c r="G475">
        <v>67</v>
      </c>
      <c r="H475">
        <v>61</v>
      </c>
      <c r="I475" s="1">
        <f>AVERAGE(tblStudents[[#This Row],[Math Score]],tblStudents[[#This Row],[Reading Score]],tblStudents[[#This Row],[Writing Score]])</f>
        <v>62.333333333333336</v>
      </c>
      <c r="J475">
        <f>IF(tblStudents[[#This Row],[Average Score]]&gt;=60,1,0)</f>
        <v>1</v>
      </c>
      <c r="K475" t="str">
        <f>IF(tblStudents[[#This Row],[Average Score]]&gt;=60,"Pass","At Risk")</f>
        <v>Pass</v>
      </c>
      <c r="L475" t="str" cm="1">
        <f t="array" ref="L475">_xlfn.IFS(tblStudents[[#This Row],[Average Score]]&gt;=80,"High",tblStudents[[#This Row],[Average Score]]&gt;=60,"Meets Standard",TRUE,"At Risk")</f>
        <v>Meets Standard</v>
      </c>
      <c r="M4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476" spans="1:13" x14ac:dyDescent="0.25">
      <c r="A476" t="s">
        <v>0</v>
      </c>
      <c r="B476" t="s">
        <v>1</v>
      </c>
      <c r="C476" t="s">
        <v>11</v>
      </c>
      <c r="D476" t="s">
        <v>3</v>
      </c>
      <c r="E476" t="s">
        <v>7</v>
      </c>
      <c r="F476">
        <v>90</v>
      </c>
      <c r="G476">
        <v>90</v>
      </c>
      <c r="H476">
        <v>91</v>
      </c>
      <c r="I476" s="1">
        <f>AVERAGE(tblStudents[[#This Row],[Math Score]],tblStudents[[#This Row],[Reading Score]],tblStudents[[#This Row],[Writing Score]])</f>
        <v>90.333333333333329</v>
      </c>
      <c r="J476">
        <f>IF(tblStudents[[#This Row],[Average Score]]&gt;=60,1,0)</f>
        <v>1</v>
      </c>
      <c r="K476" t="str">
        <f>IF(tblStudents[[#This Row],[Average Score]]&gt;=60,"Pass","At Risk")</f>
        <v>Pass</v>
      </c>
      <c r="L476" t="str" cm="1">
        <f t="array" ref="L476">_xlfn.IFS(tblStudents[[#This Row],[Average Score]]&gt;=80,"High",tblStudents[[#This Row],[Average Score]]&gt;=60,"Meets Standard",TRUE,"At Risk")</f>
        <v>High</v>
      </c>
      <c r="M4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477" spans="1:13" x14ac:dyDescent="0.25">
      <c r="A477" t="s">
        <v>0</v>
      </c>
      <c r="B477" t="s">
        <v>13</v>
      </c>
      <c r="C477" t="s">
        <v>2</v>
      </c>
      <c r="D477" t="s">
        <v>3</v>
      </c>
      <c r="E477" t="s">
        <v>7</v>
      </c>
      <c r="F477">
        <v>71</v>
      </c>
      <c r="G477">
        <v>76</v>
      </c>
      <c r="H477">
        <v>83</v>
      </c>
      <c r="I477" s="1">
        <f>AVERAGE(tblStudents[[#This Row],[Math Score]],tblStudents[[#This Row],[Reading Score]],tblStudents[[#This Row],[Writing Score]])</f>
        <v>76.666666666666671</v>
      </c>
      <c r="J477">
        <f>IF(tblStudents[[#This Row],[Average Score]]&gt;=60,1,0)</f>
        <v>1</v>
      </c>
      <c r="K477" t="str">
        <f>IF(tblStudents[[#This Row],[Average Score]]&gt;=60,"Pass","At Risk")</f>
        <v>Pass</v>
      </c>
      <c r="L477" t="str" cm="1">
        <f t="array" ref="L477">_xlfn.IFS(tblStudents[[#This Row],[Average Score]]&gt;=80,"High",tblStudents[[#This Row],[Average Score]]&gt;=60,"Meets Standard",TRUE,"At Risk")</f>
        <v>Meets Standard</v>
      </c>
      <c r="M4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78" spans="1:13" x14ac:dyDescent="0.25">
      <c r="A478" t="s">
        <v>9</v>
      </c>
      <c r="B478" t="s">
        <v>16</v>
      </c>
      <c r="C478" t="s">
        <v>2</v>
      </c>
      <c r="D478" t="s">
        <v>3</v>
      </c>
      <c r="E478" t="s">
        <v>7</v>
      </c>
      <c r="F478">
        <v>76</v>
      </c>
      <c r="G478">
        <v>62</v>
      </c>
      <c r="H478">
        <v>66</v>
      </c>
      <c r="I478" s="1">
        <f>AVERAGE(tblStudents[[#This Row],[Math Score]],tblStudents[[#This Row],[Reading Score]],tblStudents[[#This Row],[Writing Score]])</f>
        <v>68</v>
      </c>
      <c r="J478">
        <f>IF(tblStudents[[#This Row],[Average Score]]&gt;=60,1,0)</f>
        <v>1</v>
      </c>
      <c r="K478" t="str">
        <f>IF(tblStudents[[#This Row],[Average Score]]&gt;=60,"Pass","At Risk")</f>
        <v>Pass</v>
      </c>
      <c r="L478" t="str" cm="1">
        <f t="array" ref="L478">_xlfn.IFS(tblStudents[[#This Row],[Average Score]]&gt;=80,"High",tblStudents[[#This Row],[Average Score]]&gt;=60,"Meets Standard",TRUE,"At Risk")</f>
        <v>Meets Standard</v>
      </c>
      <c r="M4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79" spans="1:13" x14ac:dyDescent="0.25">
      <c r="A479" t="s">
        <v>9</v>
      </c>
      <c r="B479" t="s">
        <v>13</v>
      </c>
      <c r="C479" t="s">
        <v>11</v>
      </c>
      <c r="D479" t="s">
        <v>3</v>
      </c>
      <c r="E479" t="s">
        <v>4</v>
      </c>
      <c r="F479">
        <v>80</v>
      </c>
      <c r="G479">
        <v>68</v>
      </c>
      <c r="H479">
        <v>72</v>
      </c>
      <c r="I479" s="1">
        <f>AVERAGE(tblStudents[[#This Row],[Math Score]],tblStudents[[#This Row],[Reading Score]],tblStudents[[#This Row],[Writing Score]])</f>
        <v>73.333333333333329</v>
      </c>
      <c r="J479">
        <f>IF(tblStudents[[#This Row],[Average Score]]&gt;=60,1,0)</f>
        <v>1</v>
      </c>
      <c r="K479" t="str">
        <f>IF(tblStudents[[#This Row],[Average Score]]&gt;=60,"Pass","At Risk")</f>
        <v>Pass</v>
      </c>
      <c r="L479" t="str" cm="1">
        <f t="array" ref="L479">_xlfn.IFS(tblStudents[[#This Row],[Average Score]]&gt;=80,"High",tblStudents[[#This Row],[Average Score]]&gt;=60,"Meets Standard",TRUE,"At Risk")</f>
        <v>Meets Standard</v>
      </c>
      <c r="M4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480" spans="1:13" x14ac:dyDescent="0.25">
      <c r="A480" t="s">
        <v>0</v>
      </c>
      <c r="B480" t="s">
        <v>13</v>
      </c>
      <c r="C480" t="s">
        <v>8</v>
      </c>
      <c r="D480" t="s">
        <v>3</v>
      </c>
      <c r="E480" t="s">
        <v>4</v>
      </c>
      <c r="F480">
        <v>55</v>
      </c>
      <c r="G480">
        <v>64</v>
      </c>
      <c r="H480">
        <v>70</v>
      </c>
      <c r="I480" s="1">
        <f>AVERAGE(tblStudents[[#This Row],[Math Score]],tblStudents[[#This Row],[Reading Score]],tblStudents[[#This Row],[Writing Score]])</f>
        <v>63</v>
      </c>
      <c r="J480">
        <f>IF(tblStudents[[#This Row],[Average Score]]&gt;=60,1,0)</f>
        <v>1</v>
      </c>
      <c r="K480" t="str">
        <f>IF(tblStudents[[#This Row],[Average Score]]&gt;=60,"Pass","At Risk")</f>
        <v>Pass</v>
      </c>
      <c r="L480" t="str" cm="1">
        <f t="array" ref="L480">_xlfn.IFS(tblStudents[[#This Row],[Average Score]]&gt;=80,"High",tblStudents[[#This Row],[Average Score]]&gt;=60,"Meets Standard",TRUE,"At Risk")</f>
        <v>Meets Standard</v>
      </c>
      <c r="M4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481" spans="1:13" x14ac:dyDescent="0.25">
      <c r="A481" t="s">
        <v>9</v>
      </c>
      <c r="B481" t="s">
        <v>16</v>
      </c>
      <c r="C481" t="s">
        <v>11</v>
      </c>
      <c r="D481" t="s">
        <v>3</v>
      </c>
      <c r="E481" t="s">
        <v>4</v>
      </c>
      <c r="F481">
        <v>76</v>
      </c>
      <c r="G481">
        <v>71</v>
      </c>
      <c r="H481">
        <v>67</v>
      </c>
      <c r="I481" s="1">
        <f>AVERAGE(tblStudents[[#This Row],[Math Score]],tblStudents[[#This Row],[Reading Score]],tblStudents[[#This Row],[Writing Score]])</f>
        <v>71.333333333333329</v>
      </c>
      <c r="J481">
        <f>IF(tblStudents[[#This Row],[Average Score]]&gt;=60,1,0)</f>
        <v>1</v>
      </c>
      <c r="K481" t="str">
        <f>IF(tblStudents[[#This Row],[Average Score]]&gt;=60,"Pass","At Risk")</f>
        <v>Pass</v>
      </c>
      <c r="L481" t="str" cm="1">
        <f t="array" ref="L481">_xlfn.IFS(tblStudents[[#This Row],[Average Score]]&gt;=80,"High",tblStudents[[#This Row],[Average Score]]&gt;=60,"Meets Standard",TRUE,"At Risk")</f>
        <v>Meets Standard</v>
      </c>
      <c r="M4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82" spans="1:13" x14ac:dyDescent="0.25">
      <c r="A482" t="s">
        <v>9</v>
      </c>
      <c r="B482" t="s">
        <v>1</v>
      </c>
      <c r="C482" t="s">
        <v>14</v>
      </c>
      <c r="D482" t="s">
        <v>3</v>
      </c>
      <c r="E482" t="s">
        <v>7</v>
      </c>
      <c r="F482">
        <v>73</v>
      </c>
      <c r="G482">
        <v>71</v>
      </c>
      <c r="H482">
        <v>68</v>
      </c>
      <c r="I482" s="1">
        <f>AVERAGE(tblStudents[[#This Row],[Math Score]],tblStudents[[#This Row],[Reading Score]],tblStudents[[#This Row],[Writing Score]])</f>
        <v>70.666666666666671</v>
      </c>
      <c r="J482">
        <f>IF(tblStudents[[#This Row],[Average Score]]&gt;=60,1,0)</f>
        <v>1</v>
      </c>
      <c r="K482" t="str">
        <f>IF(tblStudents[[#This Row],[Average Score]]&gt;=60,"Pass","At Risk")</f>
        <v>Pass</v>
      </c>
      <c r="L482" t="str" cm="1">
        <f t="array" ref="L482">_xlfn.IFS(tblStudents[[#This Row],[Average Score]]&gt;=80,"High",tblStudents[[#This Row],[Average Score]]&gt;=60,"Meets Standard",TRUE,"At Risk")</f>
        <v>Meets Standard</v>
      </c>
      <c r="M4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83" spans="1:13" x14ac:dyDescent="0.25">
      <c r="A483" t="s">
        <v>0</v>
      </c>
      <c r="B483" t="s">
        <v>13</v>
      </c>
      <c r="C483" t="s">
        <v>11</v>
      </c>
      <c r="D483" t="s">
        <v>12</v>
      </c>
      <c r="E483" t="s">
        <v>4</v>
      </c>
      <c r="F483">
        <v>52</v>
      </c>
      <c r="G483">
        <v>59</v>
      </c>
      <c r="H483">
        <v>56</v>
      </c>
      <c r="I483" s="1">
        <f>AVERAGE(tblStudents[[#This Row],[Math Score]],tblStudents[[#This Row],[Reading Score]],tblStudents[[#This Row],[Writing Score]])</f>
        <v>55.666666666666664</v>
      </c>
      <c r="J483">
        <f>IF(tblStudents[[#This Row],[Average Score]]&gt;=60,1,0)</f>
        <v>0</v>
      </c>
      <c r="K483" t="str">
        <f>IF(tblStudents[[#This Row],[Average Score]]&gt;=60,"Pass","At Risk")</f>
        <v>At Risk</v>
      </c>
      <c r="L483" t="str" cm="1">
        <f t="array" ref="L483">_xlfn.IFS(tblStudents[[#This Row],[Average Score]]&gt;=80,"High",tblStudents[[#This Row],[Average Score]]&gt;=60,"Meets Standard",TRUE,"At Risk")</f>
        <v>At Risk</v>
      </c>
      <c r="M4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84" spans="1:13" x14ac:dyDescent="0.25">
      <c r="A484" t="s">
        <v>9</v>
      </c>
      <c r="B484" t="s">
        <v>5</v>
      </c>
      <c r="C484" t="s">
        <v>6</v>
      </c>
      <c r="D484" t="s">
        <v>12</v>
      </c>
      <c r="E484" t="s">
        <v>4</v>
      </c>
      <c r="F484">
        <v>68</v>
      </c>
      <c r="G484">
        <v>68</v>
      </c>
      <c r="H484">
        <v>61</v>
      </c>
      <c r="I484" s="1">
        <f>AVERAGE(tblStudents[[#This Row],[Math Score]],tblStudents[[#This Row],[Reading Score]],tblStudents[[#This Row],[Writing Score]])</f>
        <v>65.666666666666671</v>
      </c>
      <c r="J484">
        <f>IF(tblStudents[[#This Row],[Average Score]]&gt;=60,1,0)</f>
        <v>1</v>
      </c>
      <c r="K484" t="str">
        <f>IF(tblStudents[[#This Row],[Average Score]]&gt;=60,"Pass","At Risk")</f>
        <v>Pass</v>
      </c>
      <c r="L484" t="str" cm="1">
        <f t="array" ref="L484">_xlfn.IFS(tblStudents[[#This Row],[Average Score]]&gt;=80,"High",tblStudents[[#This Row],[Average Score]]&gt;=60,"Meets Standard",TRUE,"At Risk")</f>
        <v>Meets Standard</v>
      </c>
      <c r="M4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85" spans="1:13" x14ac:dyDescent="0.25">
      <c r="A485" t="s">
        <v>9</v>
      </c>
      <c r="B485" t="s">
        <v>10</v>
      </c>
      <c r="C485" t="s">
        <v>14</v>
      </c>
      <c r="D485" t="s">
        <v>3</v>
      </c>
      <c r="E485" t="s">
        <v>4</v>
      </c>
      <c r="F485">
        <v>59</v>
      </c>
      <c r="G485">
        <v>52</v>
      </c>
      <c r="H485">
        <v>46</v>
      </c>
      <c r="I485" s="1">
        <f>AVERAGE(tblStudents[[#This Row],[Math Score]],tblStudents[[#This Row],[Reading Score]],tblStudents[[#This Row],[Writing Score]])</f>
        <v>52.333333333333336</v>
      </c>
      <c r="J485">
        <f>IF(tblStudents[[#This Row],[Average Score]]&gt;=60,1,0)</f>
        <v>0</v>
      </c>
      <c r="K485" t="str">
        <f>IF(tblStudents[[#This Row],[Average Score]]&gt;=60,"Pass","At Risk")</f>
        <v>At Risk</v>
      </c>
      <c r="L485" t="str" cm="1">
        <f t="array" ref="L485">_xlfn.IFS(tblStudents[[#This Row],[Average Score]]&gt;=80,"High",tblStudents[[#This Row],[Average Score]]&gt;=60,"Meets Standard",TRUE,"At Risk")</f>
        <v>At Risk</v>
      </c>
      <c r="M4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486" spans="1:13" x14ac:dyDescent="0.25">
      <c r="A486" t="s">
        <v>0</v>
      </c>
      <c r="B486" t="s">
        <v>1</v>
      </c>
      <c r="C486" t="s">
        <v>11</v>
      </c>
      <c r="D486" t="s">
        <v>3</v>
      </c>
      <c r="E486" t="s">
        <v>4</v>
      </c>
      <c r="F486">
        <v>49</v>
      </c>
      <c r="G486">
        <v>52</v>
      </c>
      <c r="H486">
        <v>54</v>
      </c>
      <c r="I486" s="1">
        <f>AVERAGE(tblStudents[[#This Row],[Math Score]],tblStudents[[#This Row],[Reading Score]],tblStudents[[#This Row],[Writing Score]])</f>
        <v>51.666666666666664</v>
      </c>
      <c r="J486">
        <f>IF(tblStudents[[#This Row],[Average Score]]&gt;=60,1,0)</f>
        <v>0</v>
      </c>
      <c r="K486" t="str">
        <f>IF(tblStudents[[#This Row],[Average Score]]&gt;=60,"Pass","At Risk")</f>
        <v>At Risk</v>
      </c>
      <c r="L486" t="str" cm="1">
        <f t="array" ref="L486">_xlfn.IFS(tblStudents[[#This Row],[Average Score]]&gt;=80,"High",tblStudents[[#This Row],[Average Score]]&gt;=60,"Meets Standard",TRUE,"At Risk")</f>
        <v>At Risk</v>
      </c>
      <c r="M4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487" spans="1:13" x14ac:dyDescent="0.25">
      <c r="A487" t="s">
        <v>9</v>
      </c>
      <c r="B487" t="s">
        <v>5</v>
      </c>
      <c r="C487" t="s">
        <v>14</v>
      </c>
      <c r="D487" t="s">
        <v>3</v>
      </c>
      <c r="E487" t="s">
        <v>4</v>
      </c>
      <c r="F487">
        <v>70</v>
      </c>
      <c r="G487">
        <v>74</v>
      </c>
      <c r="H487">
        <v>71</v>
      </c>
      <c r="I487" s="1">
        <f>AVERAGE(tblStudents[[#This Row],[Math Score]],tblStudents[[#This Row],[Reading Score]],tblStudents[[#This Row],[Writing Score]])</f>
        <v>71.666666666666671</v>
      </c>
      <c r="J487">
        <f>IF(tblStudents[[#This Row],[Average Score]]&gt;=60,1,0)</f>
        <v>1</v>
      </c>
      <c r="K487" t="str">
        <f>IF(tblStudents[[#This Row],[Average Score]]&gt;=60,"Pass","At Risk")</f>
        <v>Pass</v>
      </c>
      <c r="L487" t="str" cm="1">
        <f t="array" ref="L487">_xlfn.IFS(tblStudents[[#This Row],[Average Score]]&gt;=80,"High",tblStudents[[#This Row],[Average Score]]&gt;=60,"Meets Standard",TRUE,"At Risk")</f>
        <v>Meets Standard</v>
      </c>
      <c r="M4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488" spans="1:13" x14ac:dyDescent="0.25">
      <c r="A488" t="s">
        <v>9</v>
      </c>
      <c r="B488" t="s">
        <v>13</v>
      </c>
      <c r="C488" t="s">
        <v>6</v>
      </c>
      <c r="D488" t="s">
        <v>12</v>
      </c>
      <c r="E488" t="s">
        <v>4</v>
      </c>
      <c r="F488">
        <v>61</v>
      </c>
      <c r="G488">
        <v>47</v>
      </c>
      <c r="H488">
        <v>56</v>
      </c>
      <c r="I488" s="1">
        <f>AVERAGE(tblStudents[[#This Row],[Math Score]],tblStudents[[#This Row],[Reading Score]],tblStudents[[#This Row],[Writing Score]])</f>
        <v>54.666666666666664</v>
      </c>
      <c r="J488">
        <f>IF(tblStudents[[#This Row],[Average Score]]&gt;=60,1,0)</f>
        <v>0</v>
      </c>
      <c r="K488" t="str">
        <f>IF(tblStudents[[#This Row],[Average Score]]&gt;=60,"Pass","At Risk")</f>
        <v>At Risk</v>
      </c>
      <c r="L488" t="str" cm="1">
        <f t="array" ref="L488">_xlfn.IFS(tblStudents[[#This Row],[Average Score]]&gt;=80,"High",tblStudents[[#This Row],[Average Score]]&gt;=60,"Meets Standard",TRUE,"At Risk")</f>
        <v>At Risk</v>
      </c>
      <c r="M4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89" spans="1:13" x14ac:dyDescent="0.25">
      <c r="A489" t="s">
        <v>0</v>
      </c>
      <c r="B489" t="s">
        <v>5</v>
      </c>
      <c r="C489" t="s">
        <v>11</v>
      </c>
      <c r="D489" t="s">
        <v>12</v>
      </c>
      <c r="E489" t="s">
        <v>4</v>
      </c>
      <c r="F489">
        <v>60</v>
      </c>
      <c r="G489">
        <v>75</v>
      </c>
      <c r="H489">
        <v>74</v>
      </c>
      <c r="I489" s="1">
        <f>AVERAGE(tblStudents[[#This Row],[Math Score]],tblStudents[[#This Row],[Reading Score]],tblStudents[[#This Row],[Writing Score]])</f>
        <v>69.666666666666671</v>
      </c>
      <c r="J489">
        <f>IF(tblStudents[[#This Row],[Average Score]]&gt;=60,1,0)</f>
        <v>1</v>
      </c>
      <c r="K489" t="str">
        <f>IF(tblStudents[[#This Row],[Average Score]]&gt;=60,"Pass","At Risk")</f>
        <v>Pass</v>
      </c>
      <c r="L489" t="str" cm="1">
        <f t="array" ref="L489">_xlfn.IFS(tblStudents[[#This Row],[Average Score]]&gt;=80,"High",tblStudents[[#This Row],[Average Score]]&gt;=60,"Meets Standard",TRUE,"At Risk")</f>
        <v>Meets Standard</v>
      </c>
      <c r="M4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490" spans="1:13" x14ac:dyDescent="0.25">
      <c r="A490" t="s">
        <v>9</v>
      </c>
      <c r="B490" t="s">
        <v>1</v>
      </c>
      <c r="C490" t="s">
        <v>15</v>
      </c>
      <c r="D490" t="s">
        <v>3</v>
      </c>
      <c r="E490" t="s">
        <v>7</v>
      </c>
      <c r="F490">
        <v>64</v>
      </c>
      <c r="G490">
        <v>53</v>
      </c>
      <c r="H490">
        <v>57</v>
      </c>
      <c r="I490" s="1">
        <f>AVERAGE(tblStudents[[#This Row],[Math Score]],tblStudents[[#This Row],[Reading Score]],tblStudents[[#This Row],[Writing Score]])</f>
        <v>58</v>
      </c>
      <c r="J490">
        <f>IF(tblStudents[[#This Row],[Average Score]]&gt;=60,1,0)</f>
        <v>0</v>
      </c>
      <c r="K490" t="str">
        <f>IF(tblStudents[[#This Row],[Average Score]]&gt;=60,"Pass","At Risk")</f>
        <v>At Risk</v>
      </c>
      <c r="L490" t="str" cm="1">
        <f t="array" ref="L490">_xlfn.IFS(tblStudents[[#This Row],[Average Score]]&gt;=80,"High",tblStudents[[#This Row],[Average Score]]&gt;=60,"Meets Standard",TRUE,"At Risk")</f>
        <v>At Risk</v>
      </c>
      <c r="M4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491" spans="1:13" x14ac:dyDescent="0.25">
      <c r="A491" t="s">
        <v>9</v>
      </c>
      <c r="B491" t="s">
        <v>10</v>
      </c>
      <c r="C491" t="s">
        <v>11</v>
      </c>
      <c r="D491" t="s">
        <v>12</v>
      </c>
      <c r="E491" t="s">
        <v>7</v>
      </c>
      <c r="F491">
        <v>79</v>
      </c>
      <c r="G491">
        <v>82</v>
      </c>
      <c r="H491">
        <v>82</v>
      </c>
      <c r="I491" s="1">
        <f>AVERAGE(tblStudents[[#This Row],[Math Score]],tblStudents[[#This Row],[Reading Score]],tblStudents[[#This Row],[Writing Score]])</f>
        <v>81</v>
      </c>
      <c r="J491">
        <f>IF(tblStudents[[#This Row],[Average Score]]&gt;=60,1,0)</f>
        <v>1</v>
      </c>
      <c r="K491" t="str">
        <f>IF(tblStudents[[#This Row],[Average Score]]&gt;=60,"Pass","At Risk")</f>
        <v>Pass</v>
      </c>
      <c r="L491" t="str" cm="1">
        <f t="array" ref="L491">_xlfn.IFS(tblStudents[[#This Row],[Average Score]]&gt;=80,"High",tblStudents[[#This Row],[Average Score]]&gt;=60,"Meets Standard",TRUE,"At Risk")</f>
        <v>High</v>
      </c>
      <c r="M4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492" spans="1:13" x14ac:dyDescent="0.25">
      <c r="A492" t="s">
        <v>0</v>
      </c>
      <c r="B492" t="s">
        <v>10</v>
      </c>
      <c r="C492" t="s">
        <v>11</v>
      </c>
      <c r="D492" t="s">
        <v>12</v>
      </c>
      <c r="E492" t="s">
        <v>4</v>
      </c>
      <c r="F492">
        <v>65</v>
      </c>
      <c r="G492">
        <v>85</v>
      </c>
      <c r="H492">
        <v>76</v>
      </c>
      <c r="I492" s="1">
        <f>AVERAGE(tblStudents[[#This Row],[Math Score]],tblStudents[[#This Row],[Reading Score]],tblStudents[[#This Row],[Writing Score]])</f>
        <v>75.333333333333329</v>
      </c>
      <c r="J492">
        <f>IF(tblStudents[[#This Row],[Average Score]]&gt;=60,1,0)</f>
        <v>1</v>
      </c>
      <c r="K492" t="str">
        <f>IF(tblStudents[[#This Row],[Average Score]]&gt;=60,"Pass","At Risk")</f>
        <v>Pass</v>
      </c>
      <c r="L492" t="str" cm="1">
        <f t="array" ref="L492">_xlfn.IFS(tblStudents[[#This Row],[Average Score]]&gt;=80,"High",tblStudents[[#This Row],[Average Score]]&gt;=60,"Meets Standard",TRUE,"At Risk")</f>
        <v>Meets Standard</v>
      </c>
      <c r="M4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493" spans="1:13" x14ac:dyDescent="0.25">
      <c r="A493" t="s">
        <v>0</v>
      </c>
      <c r="B493" t="s">
        <v>5</v>
      </c>
      <c r="C493" t="s">
        <v>11</v>
      </c>
      <c r="D493" t="s">
        <v>3</v>
      </c>
      <c r="E493" t="s">
        <v>4</v>
      </c>
      <c r="F493">
        <v>64</v>
      </c>
      <c r="G493">
        <v>64</v>
      </c>
      <c r="H493">
        <v>70</v>
      </c>
      <c r="I493" s="1">
        <f>AVERAGE(tblStudents[[#This Row],[Math Score]],tblStudents[[#This Row],[Reading Score]],tblStudents[[#This Row],[Writing Score]])</f>
        <v>66</v>
      </c>
      <c r="J493">
        <f>IF(tblStudents[[#This Row],[Average Score]]&gt;=60,1,0)</f>
        <v>1</v>
      </c>
      <c r="K493" t="str">
        <f>IF(tblStudents[[#This Row],[Average Score]]&gt;=60,"Pass","At Risk")</f>
        <v>Pass</v>
      </c>
      <c r="L493" t="str" cm="1">
        <f t="array" ref="L493">_xlfn.IFS(tblStudents[[#This Row],[Average Score]]&gt;=80,"High",tblStudents[[#This Row],[Average Score]]&gt;=60,"Meets Standard",TRUE,"At Risk")</f>
        <v>Meets Standard</v>
      </c>
      <c r="M4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94" spans="1:13" x14ac:dyDescent="0.25">
      <c r="A494" t="s">
        <v>0</v>
      </c>
      <c r="B494" t="s">
        <v>5</v>
      </c>
      <c r="C494" t="s">
        <v>6</v>
      </c>
      <c r="D494" t="s">
        <v>3</v>
      </c>
      <c r="E494" t="s">
        <v>4</v>
      </c>
      <c r="F494">
        <v>83</v>
      </c>
      <c r="G494">
        <v>83</v>
      </c>
      <c r="H494">
        <v>90</v>
      </c>
      <c r="I494" s="1">
        <f>AVERAGE(tblStudents[[#This Row],[Math Score]],tblStudents[[#This Row],[Reading Score]],tblStudents[[#This Row],[Writing Score]])</f>
        <v>85.333333333333329</v>
      </c>
      <c r="J494">
        <f>IF(tblStudents[[#This Row],[Average Score]]&gt;=60,1,0)</f>
        <v>1</v>
      </c>
      <c r="K494" t="str">
        <f>IF(tblStudents[[#This Row],[Average Score]]&gt;=60,"Pass","At Risk")</f>
        <v>Pass</v>
      </c>
      <c r="L494" t="str" cm="1">
        <f t="array" ref="L494">_xlfn.IFS(tblStudents[[#This Row],[Average Score]]&gt;=80,"High",tblStudents[[#This Row],[Average Score]]&gt;=60,"Meets Standard",TRUE,"At Risk")</f>
        <v>High</v>
      </c>
      <c r="M4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495" spans="1:13" x14ac:dyDescent="0.25">
      <c r="A495" t="s">
        <v>0</v>
      </c>
      <c r="B495" t="s">
        <v>5</v>
      </c>
      <c r="C495" t="s">
        <v>2</v>
      </c>
      <c r="D495" t="s">
        <v>3</v>
      </c>
      <c r="E495" t="s">
        <v>4</v>
      </c>
      <c r="F495">
        <v>81</v>
      </c>
      <c r="G495">
        <v>88</v>
      </c>
      <c r="H495">
        <v>90</v>
      </c>
      <c r="I495" s="1">
        <f>AVERAGE(tblStudents[[#This Row],[Math Score]],tblStudents[[#This Row],[Reading Score]],tblStudents[[#This Row],[Writing Score]])</f>
        <v>86.333333333333329</v>
      </c>
      <c r="J495">
        <f>IF(tblStudents[[#This Row],[Average Score]]&gt;=60,1,0)</f>
        <v>1</v>
      </c>
      <c r="K495" t="str">
        <f>IF(tblStudents[[#This Row],[Average Score]]&gt;=60,"Pass","At Risk")</f>
        <v>Pass</v>
      </c>
      <c r="L495" t="str" cm="1">
        <f t="array" ref="L495">_xlfn.IFS(tblStudents[[#This Row],[Average Score]]&gt;=80,"High",tblStudents[[#This Row],[Average Score]]&gt;=60,"Meets Standard",TRUE,"At Risk")</f>
        <v>High</v>
      </c>
      <c r="M4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496" spans="1:13" x14ac:dyDescent="0.25">
      <c r="A496" t="s">
        <v>0</v>
      </c>
      <c r="B496" t="s">
        <v>1</v>
      </c>
      <c r="C496" t="s">
        <v>14</v>
      </c>
      <c r="D496" t="s">
        <v>3</v>
      </c>
      <c r="E496" t="s">
        <v>4</v>
      </c>
      <c r="F496">
        <v>54</v>
      </c>
      <c r="G496">
        <v>64</v>
      </c>
      <c r="H496">
        <v>68</v>
      </c>
      <c r="I496" s="1">
        <f>AVERAGE(tblStudents[[#This Row],[Math Score]],tblStudents[[#This Row],[Reading Score]],tblStudents[[#This Row],[Writing Score]])</f>
        <v>62</v>
      </c>
      <c r="J496">
        <f>IF(tblStudents[[#This Row],[Average Score]]&gt;=60,1,0)</f>
        <v>1</v>
      </c>
      <c r="K496" t="str">
        <f>IF(tblStudents[[#This Row],[Average Score]]&gt;=60,"Pass","At Risk")</f>
        <v>Pass</v>
      </c>
      <c r="L496" t="str" cm="1">
        <f t="array" ref="L496">_xlfn.IFS(tblStudents[[#This Row],[Average Score]]&gt;=80,"High",tblStudents[[#This Row],[Average Score]]&gt;=60,"Meets Standard",TRUE,"At Risk")</f>
        <v>Meets Standard</v>
      </c>
      <c r="M4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497" spans="1:13" x14ac:dyDescent="0.25">
      <c r="A497" t="s">
        <v>9</v>
      </c>
      <c r="B497" t="s">
        <v>13</v>
      </c>
      <c r="C497" t="s">
        <v>14</v>
      </c>
      <c r="D497" t="s">
        <v>3</v>
      </c>
      <c r="E497" t="s">
        <v>7</v>
      </c>
      <c r="F497">
        <v>68</v>
      </c>
      <c r="G497">
        <v>64</v>
      </c>
      <c r="H497">
        <v>66</v>
      </c>
      <c r="I497" s="1">
        <f>AVERAGE(tblStudents[[#This Row],[Math Score]],tblStudents[[#This Row],[Reading Score]],tblStudents[[#This Row],[Writing Score]])</f>
        <v>66</v>
      </c>
      <c r="J497">
        <f>IF(tblStudents[[#This Row],[Average Score]]&gt;=60,1,0)</f>
        <v>1</v>
      </c>
      <c r="K497" t="str">
        <f>IF(tblStudents[[#This Row],[Average Score]]&gt;=60,"Pass","At Risk")</f>
        <v>Pass</v>
      </c>
      <c r="L497" t="str" cm="1">
        <f t="array" ref="L497">_xlfn.IFS(tblStudents[[#This Row],[Average Score]]&gt;=80,"High",tblStudents[[#This Row],[Average Score]]&gt;=60,"Meets Standard",TRUE,"At Risk")</f>
        <v>Meets Standard</v>
      </c>
      <c r="M4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498" spans="1:13" x14ac:dyDescent="0.25">
      <c r="A498" t="s">
        <v>0</v>
      </c>
      <c r="B498" t="s">
        <v>5</v>
      </c>
      <c r="C498" t="s">
        <v>6</v>
      </c>
      <c r="D498" t="s">
        <v>3</v>
      </c>
      <c r="E498" t="s">
        <v>4</v>
      </c>
      <c r="F498">
        <v>54</v>
      </c>
      <c r="G498">
        <v>48</v>
      </c>
      <c r="H498">
        <v>52</v>
      </c>
      <c r="I498" s="1">
        <f>AVERAGE(tblStudents[[#This Row],[Math Score]],tblStudents[[#This Row],[Reading Score]],tblStudents[[#This Row],[Writing Score]])</f>
        <v>51.333333333333336</v>
      </c>
      <c r="J498">
        <f>IF(tblStudents[[#This Row],[Average Score]]&gt;=60,1,0)</f>
        <v>0</v>
      </c>
      <c r="K498" t="str">
        <f>IF(tblStudents[[#This Row],[Average Score]]&gt;=60,"Pass","At Risk")</f>
        <v>At Risk</v>
      </c>
      <c r="L498" t="str" cm="1">
        <f t="array" ref="L498">_xlfn.IFS(tblStudents[[#This Row],[Average Score]]&gt;=80,"High",tblStudents[[#This Row],[Average Score]]&gt;=60,"Meets Standard",TRUE,"At Risk")</f>
        <v>At Risk</v>
      </c>
      <c r="M4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499" spans="1:13" x14ac:dyDescent="0.25">
      <c r="A499" t="s">
        <v>0</v>
      </c>
      <c r="B499" t="s">
        <v>13</v>
      </c>
      <c r="C499" t="s">
        <v>6</v>
      </c>
      <c r="D499" t="s">
        <v>12</v>
      </c>
      <c r="E499" t="s">
        <v>7</v>
      </c>
      <c r="F499">
        <v>59</v>
      </c>
      <c r="G499">
        <v>78</v>
      </c>
      <c r="H499">
        <v>76</v>
      </c>
      <c r="I499" s="1">
        <f>AVERAGE(tblStudents[[#This Row],[Math Score]],tblStudents[[#This Row],[Reading Score]],tblStudents[[#This Row],[Writing Score]])</f>
        <v>71</v>
      </c>
      <c r="J499">
        <f>IF(tblStudents[[#This Row],[Average Score]]&gt;=60,1,0)</f>
        <v>1</v>
      </c>
      <c r="K499" t="str">
        <f>IF(tblStudents[[#This Row],[Average Score]]&gt;=60,"Pass","At Risk")</f>
        <v>Pass</v>
      </c>
      <c r="L499" t="str" cm="1">
        <f t="array" ref="L499">_xlfn.IFS(tblStudents[[#This Row],[Average Score]]&gt;=80,"High",tblStudents[[#This Row],[Average Score]]&gt;=60,"Meets Standard",TRUE,"At Risk")</f>
        <v>Meets Standard</v>
      </c>
      <c r="M4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500" spans="1:13" x14ac:dyDescent="0.25">
      <c r="A500" t="s">
        <v>0</v>
      </c>
      <c r="B500" t="s">
        <v>1</v>
      </c>
      <c r="C500" t="s">
        <v>15</v>
      </c>
      <c r="D500" t="s">
        <v>3</v>
      </c>
      <c r="E500" t="s">
        <v>4</v>
      </c>
      <c r="F500">
        <v>66</v>
      </c>
      <c r="G500">
        <v>69</v>
      </c>
      <c r="H500">
        <v>68</v>
      </c>
      <c r="I500" s="1">
        <f>AVERAGE(tblStudents[[#This Row],[Math Score]],tblStudents[[#This Row],[Reading Score]],tblStudents[[#This Row],[Writing Score]])</f>
        <v>67.666666666666671</v>
      </c>
      <c r="J500">
        <f>IF(tblStudents[[#This Row],[Average Score]]&gt;=60,1,0)</f>
        <v>1</v>
      </c>
      <c r="K500" t="str">
        <f>IF(tblStudents[[#This Row],[Average Score]]&gt;=60,"Pass","At Risk")</f>
        <v>Pass</v>
      </c>
      <c r="L500" t="str" cm="1">
        <f t="array" ref="L500">_xlfn.IFS(tblStudents[[#This Row],[Average Score]]&gt;=80,"High",tblStudents[[#This Row],[Average Score]]&gt;=60,"Meets Standard",TRUE,"At Risk")</f>
        <v>Meets Standard</v>
      </c>
      <c r="M5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501" spans="1:13" x14ac:dyDescent="0.25">
      <c r="A501" t="s">
        <v>9</v>
      </c>
      <c r="B501" t="s">
        <v>16</v>
      </c>
      <c r="C501" t="s">
        <v>6</v>
      </c>
      <c r="D501" t="s">
        <v>3</v>
      </c>
      <c r="E501" t="s">
        <v>4</v>
      </c>
      <c r="F501">
        <v>76</v>
      </c>
      <c r="G501">
        <v>71</v>
      </c>
      <c r="H501">
        <v>72</v>
      </c>
      <c r="I501" s="1">
        <f>AVERAGE(tblStudents[[#This Row],[Math Score]],tblStudents[[#This Row],[Reading Score]],tblStudents[[#This Row],[Writing Score]])</f>
        <v>73</v>
      </c>
      <c r="J501">
        <f>IF(tblStudents[[#This Row],[Average Score]]&gt;=60,1,0)</f>
        <v>1</v>
      </c>
      <c r="K501" t="str">
        <f>IF(tblStudents[[#This Row],[Average Score]]&gt;=60,"Pass","At Risk")</f>
        <v>Pass</v>
      </c>
      <c r="L501" t="str" cm="1">
        <f t="array" ref="L501">_xlfn.IFS(tblStudents[[#This Row],[Average Score]]&gt;=80,"High",tblStudents[[#This Row],[Average Score]]&gt;=60,"Meets Standard",TRUE,"At Risk")</f>
        <v>Meets Standard</v>
      </c>
      <c r="M5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02" spans="1:13" x14ac:dyDescent="0.25">
      <c r="A502" t="s">
        <v>0</v>
      </c>
      <c r="B502" t="s">
        <v>13</v>
      </c>
      <c r="C502" t="s">
        <v>8</v>
      </c>
      <c r="D502" t="s">
        <v>3</v>
      </c>
      <c r="E502" t="s">
        <v>4</v>
      </c>
      <c r="F502">
        <v>74</v>
      </c>
      <c r="G502">
        <v>79</v>
      </c>
      <c r="H502">
        <v>82</v>
      </c>
      <c r="I502" s="1">
        <f>AVERAGE(tblStudents[[#This Row],[Math Score]],tblStudents[[#This Row],[Reading Score]],tblStudents[[#This Row],[Writing Score]])</f>
        <v>78.333333333333329</v>
      </c>
      <c r="J502">
        <f>IF(tblStudents[[#This Row],[Average Score]]&gt;=60,1,0)</f>
        <v>1</v>
      </c>
      <c r="K502" t="str">
        <f>IF(tblStudents[[#This Row],[Average Score]]&gt;=60,"Pass","At Risk")</f>
        <v>Pass</v>
      </c>
      <c r="L502" t="str" cm="1">
        <f t="array" ref="L502">_xlfn.IFS(tblStudents[[#This Row],[Average Score]]&gt;=80,"High",tblStudents[[#This Row],[Average Score]]&gt;=60,"Meets Standard",TRUE,"At Risk")</f>
        <v>Meets Standard</v>
      </c>
      <c r="M5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03" spans="1:13" x14ac:dyDescent="0.25">
      <c r="A503" t="s">
        <v>0</v>
      </c>
      <c r="B503" t="s">
        <v>1</v>
      </c>
      <c r="C503" t="s">
        <v>11</v>
      </c>
      <c r="D503" t="s">
        <v>3</v>
      </c>
      <c r="E503" t="s">
        <v>7</v>
      </c>
      <c r="F503">
        <v>94</v>
      </c>
      <c r="G503">
        <v>87</v>
      </c>
      <c r="H503">
        <v>92</v>
      </c>
      <c r="I503" s="1">
        <f>AVERAGE(tblStudents[[#This Row],[Math Score]],tblStudents[[#This Row],[Reading Score]],tblStudents[[#This Row],[Writing Score]])</f>
        <v>91</v>
      </c>
      <c r="J503">
        <f>IF(tblStudents[[#This Row],[Average Score]]&gt;=60,1,0)</f>
        <v>1</v>
      </c>
      <c r="K503" t="str">
        <f>IF(tblStudents[[#This Row],[Average Score]]&gt;=60,"Pass","At Risk")</f>
        <v>Pass</v>
      </c>
      <c r="L503" t="str" cm="1">
        <f t="array" ref="L503">_xlfn.IFS(tblStudents[[#This Row],[Average Score]]&gt;=80,"High",tblStudents[[#This Row],[Average Score]]&gt;=60,"Meets Standard",TRUE,"At Risk")</f>
        <v>High</v>
      </c>
      <c r="M5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04" spans="1:13" x14ac:dyDescent="0.25">
      <c r="A504" t="s">
        <v>9</v>
      </c>
      <c r="B504" t="s">
        <v>5</v>
      </c>
      <c r="C504" t="s">
        <v>6</v>
      </c>
      <c r="D504" t="s">
        <v>12</v>
      </c>
      <c r="E504" t="s">
        <v>4</v>
      </c>
      <c r="F504">
        <v>63</v>
      </c>
      <c r="G504">
        <v>61</v>
      </c>
      <c r="H504">
        <v>54</v>
      </c>
      <c r="I504" s="1">
        <f>AVERAGE(tblStudents[[#This Row],[Math Score]],tblStudents[[#This Row],[Reading Score]],tblStudents[[#This Row],[Writing Score]])</f>
        <v>59.333333333333336</v>
      </c>
      <c r="J504">
        <f>IF(tblStudents[[#This Row],[Average Score]]&gt;=60,1,0)</f>
        <v>0</v>
      </c>
      <c r="K504" t="str">
        <f>IF(tblStudents[[#This Row],[Average Score]]&gt;=60,"Pass","At Risk")</f>
        <v>At Risk</v>
      </c>
      <c r="L504" t="str" cm="1">
        <f t="array" ref="L504">_xlfn.IFS(tblStudents[[#This Row],[Average Score]]&gt;=80,"High",tblStudents[[#This Row],[Average Score]]&gt;=60,"Meets Standard",TRUE,"At Risk")</f>
        <v>At Risk</v>
      </c>
      <c r="M5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505" spans="1:13" x14ac:dyDescent="0.25">
      <c r="A505" t="s">
        <v>0</v>
      </c>
      <c r="B505" t="s">
        <v>16</v>
      </c>
      <c r="C505" t="s">
        <v>11</v>
      </c>
      <c r="D505" t="s">
        <v>3</v>
      </c>
      <c r="E505" t="s">
        <v>7</v>
      </c>
      <c r="F505">
        <v>95</v>
      </c>
      <c r="G505">
        <v>89</v>
      </c>
      <c r="H505">
        <v>92</v>
      </c>
      <c r="I505" s="1">
        <f>AVERAGE(tblStudents[[#This Row],[Math Score]],tblStudents[[#This Row],[Reading Score]],tblStudents[[#This Row],[Writing Score]])</f>
        <v>92</v>
      </c>
      <c r="J505">
        <f>IF(tblStudents[[#This Row],[Average Score]]&gt;=60,1,0)</f>
        <v>1</v>
      </c>
      <c r="K505" t="str">
        <f>IF(tblStudents[[#This Row],[Average Score]]&gt;=60,"Pass","At Risk")</f>
        <v>Pass</v>
      </c>
      <c r="L505" t="str" cm="1">
        <f t="array" ref="L505">_xlfn.IFS(tblStudents[[#This Row],[Average Score]]&gt;=80,"High",tblStudents[[#This Row],[Average Score]]&gt;=60,"Meets Standard",TRUE,"At Risk")</f>
        <v>High</v>
      </c>
      <c r="M5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506" spans="1:13" x14ac:dyDescent="0.25">
      <c r="A506" t="s">
        <v>0</v>
      </c>
      <c r="B506" t="s">
        <v>13</v>
      </c>
      <c r="C506" t="s">
        <v>8</v>
      </c>
      <c r="D506" t="s">
        <v>12</v>
      </c>
      <c r="E506" t="s">
        <v>4</v>
      </c>
      <c r="F506">
        <v>40</v>
      </c>
      <c r="G506">
        <v>59</v>
      </c>
      <c r="H506">
        <v>54</v>
      </c>
      <c r="I506" s="1">
        <f>AVERAGE(tblStudents[[#This Row],[Math Score]],tblStudents[[#This Row],[Reading Score]],tblStudents[[#This Row],[Writing Score]])</f>
        <v>51</v>
      </c>
      <c r="J506">
        <f>IF(tblStudents[[#This Row],[Average Score]]&gt;=60,1,0)</f>
        <v>0</v>
      </c>
      <c r="K506" t="str">
        <f>IF(tblStudents[[#This Row],[Average Score]]&gt;=60,"Pass","At Risk")</f>
        <v>At Risk</v>
      </c>
      <c r="L506" t="str" cm="1">
        <f t="array" ref="L506">_xlfn.IFS(tblStudents[[#This Row],[Average Score]]&gt;=80,"High",tblStudents[[#This Row],[Average Score]]&gt;=60,"Meets Standard",TRUE,"At Risk")</f>
        <v>At Risk</v>
      </c>
      <c r="M5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507" spans="1:13" x14ac:dyDescent="0.25">
      <c r="A507" t="s">
        <v>0</v>
      </c>
      <c r="B507" t="s">
        <v>1</v>
      </c>
      <c r="C507" t="s">
        <v>15</v>
      </c>
      <c r="D507" t="s">
        <v>3</v>
      </c>
      <c r="E507" t="s">
        <v>4</v>
      </c>
      <c r="F507">
        <v>82</v>
      </c>
      <c r="G507">
        <v>82</v>
      </c>
      <c r="H507">
        <v>80</v>
      </c>
      <c r="I507" s="1">
        <f>AVERAGE(tblStudents[[#This Row],[Math Score]],tblStudents[[#This Row],[Reading Score]],tblStudents[[#This Row],[Writing Score]])</f>
        <v>81.333333333333329</v>
      </c>
      <c r="J507">
        <f>IF(tblStudents[[#This Row],[Average Score]]&gt;=60,1,0)</f>
        <v>1</v>
      </c>
      <c r="K507" t="str">
        <f>IF(tblStudents[[#This Row],[Average Score]]&gt;=60,"Pass","At Risk")</f>
        <v>Pass</v>
      </c>
      <c r="L507" t="str" cm="1">
        <f t="array" ref="L507">_xlfn.IFS(tblStudents[[#This Row],[Average Score]]&gt;=80,"High",tblStudents[[#This Row],[Average Score]]&gt;=60,"Meets Standard",TRUE,"At Risk")</f>
        <v>High</v>
      </c>
      <c r="M5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508" spans="1:13" x14ac:dyDescent="0.25">
      <c r="A508" t="s">
        <v>9</v>
      </c>
      <c r="B508" t="s">
        <v>10</v>
      </c>
      <c r="C508" t="s">
        <v>14</v>
      </c>
      <c r="D508" t="s">
        <v>3</v>
      </c>
      <c r="E508" t="s">
        <v>4</v>
      </c>
      <c r="F508">
        <v>68</v>
      </c>
      <c r="G508">
        <v>70</v>
      </c>
      <c r="H508">
        <v>66</v>
      </c>
      <c r="I508" s="1">
        <f>AVERAGE(tblStudents[[#This Row],[Math Score]],tblStudents[[#This Row],[Reading Score]],tblStudents[[#This Row],[Writing Score]])</f>
        <v>68</v>
      </c>
      <c r="J508">
        <f>IF(tblStudents[[#This Row],[Average Score]]&gt;=60,1,0)</f>
        <v>1</v>
      </c>
      <c r="K508" t="str">
        <f>IF(tblStudents[[#This Row],[Average Score]]&gt;=60,"Pass","At Risk")</f>
        <v>Pass</v>
      </c>
      <c r="L508" t="str" cm="1">
        <f t="array" ref="L508">_xlfn.IFS(tblStudents[[#This Row],[Average Score]]&gt;=80,"High",tblStudents[[#This Row],[Average Score]]&gt;=60,"Meets Standard",TRUE,"At Risk")</f>
        <v>Meets Standard</v>
      </c>
      <c r="M5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09" spans="1:13" x14ac:dyDescent="0.25">
      <c r="A509" t="s">
        <v>9</v>
      </c>
      <c r="B509" t="s">
        <v>1</v>
      </c>
      <c r="C509" t="s">
        <v>2</v>
      </c>
      <c r="D509" t="s">
        <v>12</v>
      </c>
      <c r="E509" t="s">
        <v>4</v>
      </c>
      <c r="F509">
        <v>55</v>
      </c>
      <c r="G509">
        <v>59</v>
      </c>
      <c r="H509">
        <v>54</v>
      </c>
      <c r="I509" s="1">
        <f>AVERAGE(tblStudents[[#This Row],[Math Score]],tblStudents[[#This Row],[Reading Score]],tblStudents[[#This Row],[Writing Score]])</f>
        <v>56</v>
      </c>
      <c r="J509">
        <f>IF(tblStudents[[#This Row],[Average Score]]&gt;=60,1,0)</f>
        <v>0</v>
      </c>
      <c r="K509" t="str">
        <f>IF(tblStudents[[#This Row],[Average Score]]&gt;=60,"Pass","At Risk")</f>
        <v>At Risk</v>
      </c>
      <c r="L509" t="str" cm="1">
        <f t="array" ref="L509">_xlfn.IFS(tblStudents[[#This Row],[Average Score]]&gt;=80,"High",tblStudents[[#This Row],[Average Score]]&gt;=60,"Meets Standard",TRUE,"At Risk")</f>
        <v>At Risk</v>
      </c>
      <c r="M5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10" spans="1:13" x14ac:dyDescent="0.25">
      <c r="A510" t="s">
        <v>9</v>
      </c>
      <c r="B510" t="s">
        <v>5</v>
      </c>
      <c r="C510" t="s">
        <v>8</v>
      </c>
      <c r="D510" t="s">
        <v>3</v>
      </c>
      <c r="E510" t="s">
        <v>4</v>
      </c>
      <c r="F510">
        <v>79</v>
      </c>
      <c r="G510">
        <v>78</v>
      </c>
      <c r="H510">
        <v>77</v>
      </c>
      <c r="I510" s="1">
        <f>AVERAGE(tblStudents[[#This Row],[Math Score]],tblStudents[[#This Row],[Reading Score]],tblStudents[[#This Row],[Writing Score]])</f>
        <v>78</v>
      </c>
      <c r="J510">
        <f>IF(tblStudents[[#This Row],[Average Score]]&gt;=60,1,0)</f>
        <v>1</v>
      </c>
      <c r="K510" t="str">
        <f>IF(tblStudents[[#This Row],[Average Score]]&gt;=60,"Pass","At Risk")</f>
        <v>Pass</v>
      </c>
      <c r="L510" t="str" cm="1">
        <f t="array" ref="L510">_xlfn.IFS(tblStudents[[#This Row],[Average Score]]&gt;=80,"High",tblStudents[[#This Row],[Average Score]]&gt;=60,"Meets Standard",TRUE,"At Risk")</f>
        <v>Meets Standard</v>
      </c>
      <c r="M5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511" spans="1:13" x14ac:dyDescent="0.25">
      <c r="A511" t="s">
        <v>0</v>
      </c>
      <c r="B511" t="s">
        <v>5</v>
      </c>
      <c r="C511" t="s">
        <v>2</v>
      </c>
      <c r="D511" t="s">
        <v>3</v>
      </c>
      <c r="E511" t="s">
        <v>4</v>
      </c>
      <c r="F511">
        <v>86</v>
      </c>
      <c r="G511">
        <v>92</v>
      </c>
      <c r="H511">
        <v>87</v>
      </c>
      <c r="I511" s="1">
        <f>AVERAGE(tblStudents[[#This Row],[Math Score]],tblStudents[[#This Row],[Reading Score]],tblStudents[[#This Row],[Writing Score]])</f>
        <v>88.333333333333329</v>
      </c>
      <c r="J511">
        <f>IF(tblStudents[[#This Row],[Average Score]]&gt;=60,1,0)</f>
        <v>1</v>
      </c>
      <c r="K511" t="str">
        <f>IF(tblStudents[[#This Row],[Average Score]]&gt;=60,"Pass","At Risk")</f>
        <v>Pass</v>
      </c>
      <c r="L511" t="str" cm="1">
        <f t="array" ref="L511">_xlfn.IFS(tblStudents[[#This Row],[Average Score]]&gt;=80,"High",tblStudents[[#This Row],[Average Score]]&gt;=60,"Meets Standard",TRUE,"At Risk")</f>
        <v>High</v>
      </c>
      <c r="M5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512" spans="1:13" x14ac:dyDescent="0.25">
      <c r="A512" t="s">
        <v>9</v>
      </c>
      <c r="B512" t="s">
        <v>13</v>
      </c>
      <c r="C512" t="s">
        <v>6</v>
      </c>
      <c r="D512" t="s">
        <v>3</v>
      </c>
      <c r="E512" t="s">
        <v>4</v>
      </c>
      <c r="F512">
        <v>76</v>
      </c>
      <c r="G512">
        <v>71</v>
      </c>
      <c r="H512">
        <v>73</v>
      </c>
      <c r="I512" s="1">
        <f>AVERAGE(tblStudents[[#This Row],[Math Score]],tblStudents[[#This Row],[Reading Score]],tblStudents[[#This Row],[Writing Score]])</f>
        <v>73.333333333333329</v>
      </c>
      <c r="J512">
        <f>IF(tblStudents[[#This Row],[Average Score]]&gt;=60,1,0)</f>
        <v>1</v>
      </c>
      <c r="K512" t="str">
        <f>IF(tblStudents[[#This Row],[Average Score]]&gt;=60,"Pass","At Risk")</f>
        <v>Pass</v>
      </c>
      <c r="L512" t="str" cm="1">
        <f t="array" ref="L512">_xlfn.IFS(tblStudents[[#This Row],[Average Score]]&gt;=80,"High",tblStudents[[#This Row],[Average Score]]&gt;=60,"Meets Standard",TRUE,"At Risk")</f>
        <v>Meets Standard</v>
      </c>
      <c r="M5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13" spans="1:13" x14ac:dyDescent="0.25">
      <c r="A513" t="s">
        <v>9</v>
      </c>
      <c r="B513" t="s">
        <v>10</v>
      </c>
      <c r="C513" t="s">
        <v>15</v>
      </c>
      <c r="D513" t="s">
        <v>3</v>
      </c>
      <c r="E513" t="s">
        <v>4</v>
      </c>
      <c r="F513">
        <v>64</v>
      </c>
      <c r="G513">
        <v>50</v>
      </c>
      <c r="H513">
        <v>43</v>
      </c>
      <c r="I513" s="1">
        <f>AVERAGE(tblStudents[[#This Row],[Math Score]],tblStudents[[#This Row],[Reading Score]],tblStudents[[#This Row],[Writing Score]])</f>
        <v>52.333333333333336</v>
      </c>
      <c r="J513">
        <f>IF(tblStudents[[#This Row],[Average Score]]&gt;=60,1,0)</f>
        <v>0</v>
      </c>
      <c r="K513" t="str">
        <f>IF(tblStudents[[#This Row],[Average Score]]&gt;=60,"Pass","At Risk")</f>
        <v>At Risk</v>
      </c>
      <c r="L513" t="str" cm="1">
        <f t="array" ref="L513">_xlfn.IFS(tblStudents[[#This Row],[Average Score]]&gt;=80,"High",tblStudents[[#This Row],[Average Score]]&gt;=60,"Meets Standard",TRUE,"At Risk")</f>
        <v>At Risk</v>
      </c>
      <c r="M5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514" spans="1:13" x14ac:dyDescent="0.25">
      <c r="A514" t="s">
        <v>9</v>
      </c>
      <c r="B514" t="s">
        <v>13</v>
      </c>
      <c r="C514" t="s">
        <v>15</v>
      </c>
      <c r="D514" t="s">
        <v>12</v>
      </c>
      <c r="E514" t="s">
        <v>4</v>
      </c>
      <c r="F514">
        <v>62</v>
      </c>
      <c r="G514">
        <v>49</v>
      </c>
      <c r="H514">
        <v>52</v>
      </c>
      <c r="I514" s="1">
        <f>AVERAGE(tblStudents[[#This Row],[Math Score]],tblStudents[[#This Row],[Reading Score]],tblStudents[[#This Row],[Writing Score]])</f>
        <v>54.333333333333336</v>
      </c>
      <c r="J514">
        <f>IF(tblStudents[[#This Row],[Average Score]]&gt;=60,1,0)</f>
        <v>0</v>
      </c>
      <c r="K514" t="str">
        <f>IF(tblStudents[[#This Row],[Average Score]]&gt;=60,"Pass","At Risk")</f>
        <v>At Risk</v>
      </c>
      <c r="L514" t="str" cm="1">
        <f t="array" ref="L514">_xlfn.IFS(tblStudents[[#This Row],[Average Score]]&gt;=80,"High",tblStudents[[#This Row],[Average Score]]&gt;=60,"Meets Standard",TRUE,"At Risk")</f>
        <v>At Risk</v>
      </c>
      <c r="M5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515" spans="1:13" x14ac:dyDescent="0.25">
      <c r="A515" t="s">
        <v>0</v>
      </c>
      <c r="B515" t="s">
        <v>1</v>
      </c>
      <c r="C515" t="s">
        <v>15</v>
      </c>
      <c r="D515" t="s">
        <v>3</v>
      </c>
      <c r="E515" t="s">
        <v>7</v>
      </c>
      <c r="F515">
        <v>54</v>
      </c>
      <c r="G515">
        <v>61</v>
      </c>
      <c r="H515">
        <v>62</v>
      </c>
      <c r="I515" s="1">
        <f>AVERAGE(tblStudents[[#This Row],[Math Score]],tblStudents[[#This Row],[Reading Score]],tblStudents[[#This Row],[Writing Score]])</f>
        <v>59</v>
      </c>
      <c r="J515">
        <f>IF(tblStudents[[#This Row],[Average Score]]&gt;=60,1,0)</f>
        <v>0</v>
      </c>
      <c r="K515" t="str">
        <f>IF(tblStudents[[#This Row],[Average Score]]&gt;=60,"Pass","At Risk")</f>
        <v>At Risk</v>
      </c>
      <c r="L515" t="str" cm="1">
        <f t="array" ref="L515">_xlfn.IFS(tblStudents[[#This Row],[Average Score]]&gt;=80,"High",tblStudents[[#This Row],[Average Score]]&gt;=60,"Meets Standard",TRUE,"At Risk")</f>
        <v>At Risk</v>
      </c>
      <c r="M5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16" spans="1:13" x14ac:dyDescent="0.25">
      <c r="A516" t="s">
        <v>0</v>
      </c>
      <c r="B516" t="s">
        <v>1</v>
      </c>
      <c r="C516" t="s">
        <v>8</v>
      </c>
      <c r="D516" t="s">
        <v>12</v>
      </c>
      <c r="E516" t="s">
        <v>7</v>
      </c>
      <c r="F516">
        <v>77</v>
      </c>
      <c r="G516">
        <v>97</v>
      </c>
      <c r="H516">
        <v>94</v>
      </c>
      <c r="I516" s="1">
        <f>AVERAGE(tblStudents[[#This Row],[Math Score]],tblStudents[[#This Row],[Reading Score]],tblStudents[[#This Row],[Writing Score]])</f>
        <v>89.333333333333329</v>
      </c>
      <c r="J516">
        <f>IF(tblStudents[[#This Row],[Average Score]]&gt;=60,1,0)</f>
        <v>1</v>
      </c>
      <c r="K516" t="str">
        <f>IF(tblStudents[[#This Row],[Average Score]]&gt;=60,"Pass","At Risk")</f>
        <v>Pass</v>
      </c>
      <c r="L516" t="str" cm="1">
        <f t="array" ref="L516">_xlfn.IFS(tblStudents[[#This Row],[Average Score]]&gt;=80,"High",tblStudents[[#This Row],[Average Score]]&gt;=60,"Meets Standard",TRUE,"At Risk")</f>
        <v>High</v>
      </c>
      <c r="M5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517" spans="1:13" x14ac:dyDescent="0.25">
      <c r="A517" t="s">
        <v>0</v>
      </c>
      <c r="B517" t="s">
        <v>5</v>
      </c>
      <c r="C517" t="s">
        <v>15</v>
      </c>
      <c r="D517" t="s">
        <v>3</v>
      </c>
      <c r="E517" t="s">
        <v>7</v>
      </c>
      <c r="F517">
        <v>76</v>
      </c>
      <c r="G517">
        <v>87</v>
      </c>
      <c r="H517">
        <v>85</v>
      </c>
      <c r="I517" s="1">
        <f>AVERAGE(tblStudents[[#This Row],[Math Score]],tblStudents[[#This Row],[Reading Score]],tblStudents[[#This Row],[Writing Score]])</f>
        <v>82.666666666666671</v>
      </c>
      <c r="J517">
        <f>IF(tblStudents[[#This Row],[Average Score]]&gt;=60,1,0)</f>
        <v>1</v>
      </c>
      <c r="K517" t="str">
        <f>IF(tblStudents[[#This Row],[Average Score]]&gt;=60,"Pass","At Risk")</f>
        <v>Pass</v>
      </c>
      <c r="L517" t="str" cm="1">
        <f t="array" ref="L517">_xlfn.IFS(tblStudents[[#This Row],[Average Score]]&gt;=80,"High",tblStudents[[#This Row],[Average Score]]&gt;=60,"Meets Standard",TRUE,"At Risk")</f>
        <v>High</v>
      </c>
      <c r="M5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18" spans="1:13" x14ac:dyDescent="0.25">
      <c r="A518" t="s">
        <v>0</v>
      </c>
      <c r="B518" t="s">
        <v>13</v>
      </c>
      <c r="C518" t="s">
        <v>6</v>
      </c>
      <c r="D518" t="s">
        <v>3</v>
      </c>
      <c r="E518" t="s">
        <v>4</v>
      </c>
      <c r="F518">
        <v>74</v>
      </c>
      <c r="G518">
        <v>89</v>
      </c>
      <c r="H518">
        <v>84</v>
      </c>
      <c r="I518" s="1">
        <f>AVERAGE(tblStudents[[#This Row],[Math Score]],tblStudents[[#This Row],[Reading Score]],tblStudents[[#This Row],[Writing Score]])</f>
        <v>82.333333333333329</v>
      </c>
      <c r="J518">
        <f>IF(tblStudents[[#This Row],[Average Score]]&gt;=60,1,0)</f>
        <v>1</v>
      </c>
      <c r="K518" t="str">
        <f>IF(tblStudents[[#This Row],[Average Score]]&gt;=60,"Pass","At Risk")</f>
        <v>Pass</v>
      </c>
      <c r="L518" t="str" cm="1">
        <f t="array" ref="L518">_xlfn.IFS(tblStudents[[#This Row],[Average Score]]&gt;=80,"High",tblStudents[[#This Row],[Average Score]]&gt;=60,"Meets Standard",TRUE,"At Risk")</f>
        <v>High</v>
      </c>
      <c r="M5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19" spans="1:13" x14ac:dyDescent="0.25">
      <c r="A519" t="s">
        <v>0</v>
      </c>
      <c r="B519" t="s">
        <v>16</v>
      </c>
      <c r="C519" t="s">
        <v>6</v>
      </c>
      <c r="D519" t="s">
        <v>3</v>
      </c>
      <c r="E519" t="s">
        <v>7</v>
      </c>
      <c r="F519">
        <v>66</v>
      </c>
      <c r="G519">
        <v>74</v>
      </c>
      <c r="H519">
        <v>73</v>
      </c>
      <c r="I519" s="1">
        <f>AVERAGE(tblStudents[[#This Row],[Math Score]],tblStudents[[#This Row],[Reading Score]],tblStudents[[#This Row],[Writing Score]])</f>
        <v>71</v>
      </c>
      <c r="J519">
        <f>IF(tblStudents[[#This Row],[Average Score]]&gt;=60,1,0)</f>
        <v>1</v>
      </c>
      <c r="K519" t="str">
        <f>IF(tblStudents[[#This Row],[Average Score]]&gt;=60,"Pass","At Risk")</f>
        <v>Pass</v>
      </c>
      <c r="L519" t="str" cm="1">
        <f t="array" ref="L519">_xlfn.IFS(tblStudents[[#This Row],[Average Score]]&gt;=80,"High",tblStudents[[#This Row],[Average Score]]&gt;=60,"Meets Standard",TRUE,"At Risk")</f>
        <v>Meets Standard</v>
      </c>
      <c r="M5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20" spans="1:13" x14ac:dyDescent="0.25">
      <c r="A520" t="s">
        <v>0</v>
      </c>
      <c r="B520" t="s">
        <v>13</v>
      </c>
      <c r="C520" t="s">
        <v>15</v>
      </c>
      <c r="D520" t="s">
        <v>3</v>
      </c>
      <c r="E520" t="s">
        <v>7</v>
      </c>
      <c r="F520">
        <v>66</v>
      </c>
      <c r="G520">
        <v>78</v>
      </c>
      <c r="H520">
        <v>78</v>
      </c>
      <c r="I520" s="1">
        <f>AVERAGE(tblStudents[[#This Row],[Math Score]],tblStudents[[#This Row],[Reading Score]],tblStudents[[#This Row],[Writing Score]])</f>
        <v>74</v>
      </c>
      <c r="J520">
        <f>IF(tblStudents[[#This Row],[Average Score]]&gt;=60,1,0)</f>
        <v>1</v>
      </c>
      <c r="K520" t="str">
        <f>IF(tblStudents[[#This Row],[Average Score]]&gt;=60,"Pass","At Risk")</f>
        <v>Pass</v>
      </c>
      <c r="L520" t="str" cm="1">
        <f t="array" ref="L520">_xlfn.IFS(tblStudents[[#This Row],[Average Score]]&gt;=80,"High",tblStudents[[#This Row],[Average Score]]&gt;=60,"Meets Standard",TRUE,"At Risk")</f>
        <v>Meets Standard</v>
      </c>
      <c r="M5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521" spans="1:13" x14ac:dyDescent="0.25">
      <c r="A521" t="s">
        <v>0</v>
      </c>
      <c r="B521" t="s">
        <v>1</v>
      </c>
      <c r="C521" t="s">
        <v>14</v>
      </c>
      <c r="D521" t="s">
        <v>12</v>
      </c>
      <c r="E521" t="s">
        <v>7</v>
      </c>
      <c r="F521">
        <v>67</v>
      </c>
      <c r="G521">
        <v>78</v>
      </c>
      <c r="H521">
        <v>79</v>
      </c>
      <c r="I521" s="1">
        <f>AVERAGE(tblStudents[[#This Row],[Math Score]],tblStudents[[#This Row],[Reading Score]],tblStudents[[#This Row],[Writing Score]])</f>
        <v>74.666666666666671</v>
      </c>
      <c r="J521">
        <f>IF(tblStudents[[#This Row],[Average Score]]&gt;=60,1,0)</f>
        <v>1</v>
      </c>
      <c r="K521" t="str">
        <f>IF(tblStudents[[#This Row],[Average Score]]&gt;=60,"Pass","At Risk")</f>
        <v>Pass</v>
      </c>
      <c r="L521" t="str" cm="1">
        <f t="array" ref="L521">_xlfn.IFS(tblStudents[[#This Row],[Average Score]]&gt;=80,"High",tblStudents[[#This Row],[Average Score]]&gt;=60,"Meets Standard",TRUE,"At Risk")</f>
        <v>Meets Standard</v>
      </c>
      <c r="M5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522" spans="1:13" x14ac:dyDescent="0.25">
      <c r="A522" t="s">
        <v>9</v>
      </c>
      <c r="B522" t="s">
        <v>13</v>
      </c>
      <c r="C522" t="s">
        <v>6</v>
      </c>
      <c r="D522" t="s">
        <v>3</v>
      </c>
      <c r="E522" t="s">
        <v>4</v>
      </c>
      <c r="F522">
        <v>71</v>
      </c>
      <c r="G522">
        <v>49</v>
      </c>
      <c r="H522">
        <v>52</v>
      </c>
      <c r="I522" s="1">
        <f>AVERAGE(tblStudents[[#This Row],[Math Score]],tblStudents[[#This Row],[Reading Score]],tblStudents[[#This Row],[Writing Score]])</f>
        <v>57.333333333333336</v>
      </c>
      <c r="J522">
        <f>IF(tblStudents[[#This Row],[Average Score]]&gt;=60,1,0)</f>
        <v>0</v>
      </c>
      <c r="K522" t="str">
        <f>IF(tblStudents[[#This Row],[Average Score]]&gt;=60,"Pass","At Risk")</f>
        <v>At Risk</v>
      </c>
      <c r="L522" t="str" cm="1">
        <f t="array" ref="L522">_xlfn.IFS(tblStudents[[#This Row],[Average Score]]&gt;=80,"High",tblStudents[[#This Row],[Average Score]]&gt;=60,"Meets Standard",TRUE,"At Risk")</f>
        <v>At Risk</v>
      </c>
      <c r="M5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22</v>
      </c>
    </row>
    <row r="523" spans="1:13" x14ac:dyDescent="0.25">
      <c r="A523" t="s">
        <v>0</v>
      </c>
      <c r="B523" t="s">
        <v>5</v>
      </c>
      <c r="C523" t="s">
        <v>11</v>
      </c>
      <c r="D523" t="s">
        <v>3</v>
      </c>
      <c r="E523" t="s">
        <v>4</v>
      </c>
      <c r="F523">
        <v>91</v>
      </c>
      <c r="G523">
        <v>86</v>
      </c>
      <c r="H523">
        <v>84</v>
      </c>
      <c r="I523" s="1">
        <f>AVERAGE(tblStudents[[#This Row],[Math Score]],tblStudents[[#This Row],[Reading Score]],tblStudents[[#This Row],[Writing Score]])</f>
        <v>87</v>
      </c>
      <c r="J523">
        <f>IF(tblStudents[[#This Row],[Average Score]]&gt;=60,1,0)</f>
        <v>1</v>
      </c>
      <c r="K523" t="str">
        <f>IF(tblStudents[[#This Row],[Average Score]]&gt;=60,"Pass","At Risk")</f>
        <v>Pass</v>
      </c>
      <c r="L523" t="str" cm="1">
        <f t="array" ref="L523">_xlfn.IFS(tblStudents[[#This Row],[Average Score]]&gt;=80,"High",tblStudents[[#This Row],[Average Score]]&gt;=60,"Meets Standard",TRUE,"At Risk")</f>
        <v>High</v>
      </c>
      <c r="M5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24" spans="1:13" x14ac:dyDescent="0.25">
      <c r="A524" t="s">
        <v>9</v>
      </c>
      <c r="B524" t="s">
        <v>13</v>
      </c>
      <c r="C524" t="s">
        <v>2</v>
      </c>
      <c r="D524" t="s">
        <v>3</v>
      </c>
      <c r="E524" t="s">
        <v>4</v>
      </c>
      <c r="F524">
        <v>69</v>
      </c>
      <c r="G524">
        <v>58</v>
      </c>
      <c r="H524">
        <v>57</v>
      </c>
      <c r="I524" s="1">
        <f>AVERAGE(tblStudents[[#This Row],[Math Score]],tblStudents[[#This Row],[Reading Score]],tblStudents[[#This Row],[Writing Score]])</f>
        <v>61.333333333333336</v>
      </c>
      <c r="J524">
        <f>IF(tblStudents[[#This Row],[Average Score]]&gt;=60,1,0)</f>
        <v>1</v>
      </c>
      <c r="K524" t="str">
        <f>IF(tblStudents[[#This Row],[Average Score]]&gt;=60,"Pass","At Risk")</f>
        <v>Pass</v>
      </c>
      <c r="L524" t="str" cm="1">
        <f t="array" ref="L524">_xlfn.IFS(tblStudents[[#This Row],[Average Score]]&gt;=80,"High",tblStudents[[#This Row],[Average Score]]&gt;=60,"Meets Standard",TRUE,"At Risk")</f>
        <v>Meets Standard</v>
      </c>
      <c r="M5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525" spans="1:13" x14ac:dyDescent="0.25">
      <c r="A525" t="s">
        <v>9</v>
      </c>
      <c r="B525" t="s">
        <v>5</v>
      </c>
      <c r="C525" t="s">
        <v>8</v>
      </c>
      <c r="D525" t="s">
        <v>12</v>
      </c>
      <c r="E525" t="s">
        <v>4</v>
      </c>
      <c r="F525">
        <v>54</v>
      </c>
      <c r="G525">
        <v>59</v>
      </c>
      <c r="H525">
        <v>50</v>
      </c>
      <c r="I525" s="1">
        <f>AVERAGE(tblStudents[[#This Row],[Math Score]],tblStudents[[#This Row],[Reading Score]],tblStudents[[#This Row],[Writing Score]])</f>
        <v>54.333333333333336</v>
      </c>
      <c r="J525">
        <f>IF(tblStudents[[#This Row],[Average Score]]&gt;=60,1,0)</f>
        <v>0</v>
      </c>
      <c r="K525" t="str">
        <f>IF(tblStudents[[#This Row],[Average Score]]&gt;=60,"Pass","At Risk")</f>
        <v>At Risk</v>
      </c>
      <c r="L525" t="str" cm="1">
        <f t="array" ref="L525">_xlfn.IFS(tblStudents[[#This Row],[Average Score]]&gt;=80,"High",tblStudents[[#This Row],[Average Score]]&gt;=60,"Meets Standard",TRUE,"At Risk")</f>
        <v>At Risk</v>
      </c>
      <c r="M5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526" spans="1:13" x14ac:dyDescent="0.25">
      <c r="A526" t="s">
        <v>9</v>
      </c>
      <c r="B526" t="s">
        <v>5</v>
      </c>
      <c r="C526" t="s">
        <v>14</v>
      </c>
      <c r="D526" t="s">
        <v>3</v>
      </c>
      <c r="E526" t="s">
        <v>7</v>
      </c>
      <c r="F526">
        <v>53</v>
      </c>
      <c r="G526">
        <v>52</v>
      </c>
      <c r="H526">
        <v>49</v>
      </c>
      <c r="I526" s="1">
        <f>AVERAGE(tblStudents[[#This Row],[Math Score]],tblStudents[[#This Row],[Reading Score]],tblStudents[[#This Row],[Writing Score]])</f>
        <v>51.333333333333336</v>
      </c>
      <c r="J526">
        <f>IF(tblStudents[[#This Row],[Average Score]]&gt;=60,1,0)</f>
        <v>0</v>
      </c>
      <c r="K526" t="str">
        <f>IF(tblStudents[[#This Row],[Average Score]]&gt;=60,"Pass","At Risk")</f>
        <v>At Risk</v>
      </c>
      <c r="L526" t="str" cm="1">
        <f t="array" ref="L526">_xlfn.IFS(tblStudents[[#This Row],[Average Score]]&gt;=80,"High",tblStudents[[#This Row],[Average Score]]&gt;=60,"Meets Standard",TRUE,"At Risk")</f>
        <v>At Risk</v>
      </c>
      <c r="M5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27" spans="1:13" x14ac:dyDescent="0.25">
      <c r="A527" t="s">
        <v>9</v>
      </c>
      <c r="B527" t="s">
        <v>16</v>
      </c>
      <c r="C527" t="s">
        <v>6</v>
      </c>
      <c r="D527" t="s">
        <v>3</v>
      </c>
      <c r="E527" t="s">
        <v>4</v>
      </c>
      <c r="F527">
        <v>68</v>
      </c>
      <c r="G527">
        <v>60</v>
      </c>
      <c r="H527">
        <v>59</v>
      </c>
      <c r="I527" s="1">
        <f>AVERAGE(tblStudents[[#This Row],[Math Score]],tblStudents[[#This Row],[Reading Score]],tblStudents[[#This Row],[Writing Score]])</f>
        <v>62.333333333333336</v>
      </c>
      <c r="J527">
        <f>IF(tblStudents[[#This Row],[Average Score]]&gt;=60,1,0)</f>
        <v>1</v>
      </c>
      <c r="K527" t="str">
        <f>IF(tblStudents[[#This Row],[Average Score]]&gt;=60,"Pass","At Risk")</f>
        <v>Pass</v>
      </c>
      <c r="L527" t="str" cm="1">
        <f t="array" ref="L527">_xlfn.IFS(tblStudents[[#This Row],[Average Score]]&gt;=80,"High",tblStudents[[#This Row],[Average Score]]&gt;=60,"Meets Standard",TRUE,"At Risk")</f>
        <v>Meets Standard</v>
      </c>
      <c r="M5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528" spans="1:13" x14ac:dyDescent="0.25">
      <c r="A528" t="s">
        <v>9</v>
      </c>
      <c r="B528" t="s">
        <v>5</v>
      </c>
      <c r="C528" t="s">
        <v>15</v>
      </c>
      <c r="D528" t="s">
        <v>12</v>
      </c>
      <c r="E528" t="s">
        <v>7</v>
      </c>
      <c r="F528">
        <v>56</v>
      </c>
      <c r="G528">
        <v>61</v>
      </c>
      <c r="H528">
        <v>60</v>
      </c>
      <c r="I528" s="1">
        <f>AVERAGE(tblStudents[[#This Row],[Math Score]],tblStudents[[#This Row],[Reading Score]],tblStudents[[#This Row],[Writing Score]])</f>
        <v>59</v>
      </c>
      <c r="J528">
        <f>IF(tblStudents[[#This Row],[Average Score]]&gt;=60,1,0)</f>
        <v>0</v>
      </c>
      <c r="K528" t="str">
        <f>IF(tblStudents[[#This Row],[Average Score]]&gt;=60,"Pass","At Risk")</f>
        <v>At Risk</v>
      </c>
      <c r="L528" t="str" cm="1">
        <f t="array" ref="L528">_xlfn.IFS(tblStudents[[#This Row],[Average Score]]&gt;=80,"High",tblStudents[[#This Row],[Average Score]]&gt;=60,"Meets Standard",TRUE,"At Risk")</f>
        <v>At Risk</v>
      </c>
      <c r="M5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29" spans="1:13" x14ac:dyDescent="0.25">
      <c r="A529" t="s">
        <v>0</v>
      </c>
      <c r="B529" t="s">
        <v>5</v>
      </c>
      <c r="C529" t="s">
        <v>14</v>
      </c>
      <c r="D529" t="s">
        <v>12</v>
      </c>
      <c r="E529" t="s">
        <v>4</v>
      </c>
      <c r="F529">
        <v>36</v>
      </c>
      <c r="G529">
        <v>53</v>
      </c>
      <c r="H529">
        <v>43</v>
      </c>
      <c r="I529" s="1">
        <f>AVERAGE(tblStudents[[#This Row],[Math Score]],tblStudents[[#This Row],[Reading Score]],tblStudents[[#This Row],[Writing Score]])</f>
        <v>44</v>
      </c>
      <c r="J529">
        <f>IF(tblStudents[[#This Row],[Average Score]]&gt;=60,1,0)</f>
        <v>0</v>
      </c>
      <c r="K529" t="str">
        <f>IF(tblStudents[[#This Row],[Average Score]]&gt;=60,"Pass","At Risk")</f>
        <v>At Risk</v>
      </c>
      <c r="L529" t="str" cm="1">
        <f t="array" ref="L529">_xlfn.IFS(tblStudents[[#This Row],[Average Score]]&gt;=80,"High",tblStudents[[#This Row],[Average Score]]&gt;=60,"Meets Standard",TRUE,"At Risk")</f>
        <v>At Risk</v>
      </c>
      <c r="M5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530" spans="1:13" x14ac:dyDescent="0.25">
      <c r="A530" t="s">
        <v>0</v>
      </c>
      <c r="B530" t="s">
        <v>13</v>
      </c>
      <c r="C530" t="s">
        <v>2</v>
      </c>
      <c r="D530" t="s">
        <v>12</v>
      </c>
      <c r="E530" t="s">
        <v>4</v>
      </c>
      <c r="F530">
        <v>29</v>
      </c>
      <c r="G530">
        <v>41</v>
      </c>
      <c r="H530">
        <v>47</v>
      </c>
      <c r="I530" s="1">
        <f>AVERAGE(tblStudents[[#This Row],[Math Score]],tblStudents[[#This Row],[Reading Score]],tblStudents[[#This Row],[Writing Score]])</f>
        <v>39</v>
      </c>
      <c r="J530">
        <f>IF(tblStudents[[#This Row],[Average Score]]&gt;=60,1,0)</f>
        <v>0</v>
      </c>
      <c r="K530" t="str">
        <f>IF(tblStudents[[#This Row],[Average Score]]&gt;=60,"Pass","At Risk")</f>
        <v>At Risk</v>
      </c>
      <c r="L530" t="str" cm="1">
        <f t="array" ref="L530">_xlfn.IFS(tblStudents[[#This Row],[Average Score]]&gt;=80,"High",tblStudents[[#This Row],[Average Score]]&gt;=60,"Meets Standard",TRUE,"At Risk")</f>
        <v>At Risk</v>
      </c>
      <c r="M5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531" spans="1:13" x14ac:dyDescent="0.25">
      <c r="A531" t="s">
        <v>0</v>
      </c>
      <c r="B531" t="s">
        <v>5</v>
      </c>
      <c r="C531" t="s">
        <v>11</v>
      </c>
      <c r="D531" t="s">
        <v>3</v>
      </c>
      <c r="E531" t="s">
        <v>4</v>
      </c>
      <c r="F531">
        <v>62</v>
      </c>
      <c r="G531">
        <v>74</v>
      </c>
      <c r="H531">
        <v>70</v>
      </c>
      <c r="I531" s="1">
        <f>AVERAGE(tblStudents[[#This Row],[Math Score]],tblStudents[[#This Row],[Reading Score]],tblStudents[[#This Row],[Writing Score]])</f>
        <v>68.666666666666671</v>
      </c>
      <c r="J531">
        <f>IF(tblStudents[[#This Row],[Average Score]]&gt;=60,1,0)</f>
        <v>1</v>
      </c>
      <c r="K531" t="str">
        <f>IF(tblStudents[[#This Row],[Average Score]]&gt;=60,"Pass","At Risk")</f>
        <v>Pass</v>
      </c>
      <c r="L531" t="str" cm="1">
        <f t="array" ref="L531">_xlfn.IFS(tblStudents[[#This Row],[Average Score]]&gt;=80,"High",tblStudents[[#This Row],[Average Score]]&gt;=60,"Meets Standard",TRUE,"At Risk")</f>
        <v>Meets Standard</v>
      </c>
      <c r="M5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532" spans="1:13" x14ac:dyDescent="0.25">
      <c r="A532" t="s">
        <v>0</v>
      </c>
      <c r="B532" t="s">
        <v>5</v>
      </c>
      <c r="C532" t="s">
        <v>11</v>
      </c>
      <c r="D532" t="s">
        <v>3</v>
      </c>
      <c r="E532" t="s">
        <v>7</v>
      </c>
      <c r="F532">
        <v>68</v>
      </c>
      <c r="G532">
        <v>67</v>
      </c>
      <c r="H532">
        <v>73</v>
      </c>
      <c r="I532" s="1">
        <f>AVERAGE(tblStudents[[#This Row],[Math Score]],tblStudents[[#This Row],[Reading Score]],tblStudents[[#This Row],[Writing Score]])</f>
        <v>69.333333333333329</v>
      </c>
      <c r="J532">
        <f>IF(tblStudents[[#This Row],[Average Score]]&gt;=60,1,0)</f>
        <v>1</v>
      </c>
      <c r="K532" t="str">
        <f>IF(tblStudents[[#This Row],[Average Score]]&gt;=60,"Pass","At Risk")</f>
        <v>Pass</v>
      </c>
      <c r="L532" t="str" cm="1">
        <f t="array" ref="L532">_xlfn.IFS(tblStudents[[#This Row],[Average Score]]&gt;=80,"High",tblStudents[[#This Row],[Average Score]]&gt;=60,"Meets Standard",TRUE,"At Risk")</f>
        <v>Meets Standard</v>
      </c>
      <c r="M5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533" spans="1:13" x14ac:dyDescent="0.25">
      <c r="A533" t="s">
        <v>0</v>
      </c>
      <c r="B533" t="s">
        <v>5</v>
      </c>
      <c r="C533" t="s">
        <v>15</v>
      </c>
      <c r="D533" t="s">
        <v>3</v>
      </c>
      <c r="E533" t="s">
        <v>4</v>
      </c>
      <c r="F533">
        <v>47</v>
      </c>
      <c r="G533">
        <v>54</v>
      </c>
      <c r="H533">
        <v>53</v>
      </c>
      <c r="I533" s="1">
        <f>AVERAGE(tblStudents[[#This Row],[Math Score]],tblStudents[[#This Row],[Reading Score]],tblStudents[[#This Row],[Writing Score]])</f>
        <v>51.333333333333336</v>
      </c>
      <c r="J533">
        <f>IF(tblStudents[[#This Row],[Average Score]]&gt;=60,1,0)</f>
        <v>0</v>
      </c>
      <c r="K533" t="str">
        <f>IF(tblStudents[[#This Row],[Average Score]]&gt;=60,"Pass","At Risk")</f>
        <v>At Risk</v>
      </c>
      <c r="L533" t="str" cm="1">
        <f t="array" ref="L533">_xlfn.IFS(tblStudents[[#This Row],[Average Score]]&gt;=80,"High",tblStudents[[#This Row],[Average Score]]&gt;=60,"Meets Standard",TRUE,"At Risk")</f>
        <v>At Risk</v>
      </c>
      <c r="M5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34" spans="1:13" x14ac:dyDescent="0.25">
      <c r="A534" t="s">
        <v>9</v>
      </c>
      <c r="B534" t="s">
        <v>16</v>
      </c>
      <c r="C534" t="s">
        <v>11</v>
      </c>
      <c r="D534" t="s">
        <v>3</v>
      </c>
      <c r="E534" t="s">
        <v>7</v>
      </c>
      <c r="F534">
        <v>62</v>
      </c>
      <c r="G534">
        <v>61</v>
      </c>
      <c r="H534">
        <v>58</v>
      </c>
      <c r="I534" s="1">
        <f>AVERAGE(tblStudents[[#This Row],[Math Score]],tblStudents[[#This Row],[Reading Score]],tblStudents[[#This Row],[Writing Score]])</f>
        <v>60.333333333333336</v>
      </c>
      <c r="J534">
        <f>IF(tblStudents[[#This Row],[Average Score]]&gt;=60,1,0)</f>
        <v>1</v>
      </c>
      <c r="K534" t="str">
        <f>IF(tblStudents[[#This Row],[Average Score]]&gt;=60,"Pass","At Risk")</f>
        <v>Pass</v>
      </c>
      <c r="L534" t="str" cm="1">
        <f t="array" ref="L534">_xlfn.IFS(tblStudents[[#This Row],[Average Score]]&gt;=80,"High",tblStudents[[#This Row],[Average Score]]&gt;=60,"Meets Standard",TRUE,"At Risk")</f>
        <v>Meets Standard</v>
      </c>
      <c r="M5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35" spans="1:13" x14ac:dyDescent="0.25">
      <c r="A535" t="s">
        <v>0</v>
      </c>
      <c r="B535" t="s">
        <v>16</v>
      </c>
      <c r="C535" t="s">
        <v>11</v>
      </c>
      <c r="D535" t="s">
        <v>3</v>
      </c>
      <c r="E535" t="s">
        <v>7</v>
      </c>
      <c r="F535">
        <v>79</v>
      </c>
      <c r="G535">
        <v>88</v>
      </c>
      <c r="H535">
        <v>94</v>
      </c>
      <c r="I535" s="1">
        <f>AVERAGE(tblStudents[[#This Row],[Math Score]],tblStudents[[#This Row],[Reading Score]],tblStudents[[#This Row],[Writing Score]])</f>
        <v>87</v>
      </c>
      <c r="J535">
        <f>IF(tblStudents[[#This Row],[Average Score]]&gt;=60,1,0)</f>
        <v>1</v>
      </c>
      <c r="K535" t="str">
        <f>IF(tblStudents[[#This Row],[Average Score]]&gt;=60,"Pass","At Risk")</f>
        <v>Pass</v>
      </c>
      <c r="L535" t="str" cm="1">
        <f t="array" ref="L535">_xlfn.IFS(tblStudents[[#This Row],[Average Score]]&gt;=80,"High",tblStudents[[#This Row],[Average Score]]&gt;=60,"Meets Standard",TRUE,"At Risk")</f>
        <v>High</v>
      </c>
      <c r="M5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36" spans="1:13" x14ac:dyDescent="0.25">
      <c r="A536" t="s">
        <v>9</v>
      </c>
      <c r="B536" t="s">
        <v>1</v>
      </c>
      <c r="C536" t="s">
        <v>14</v>
      </c>
      <c r="D536" t="s">
        <v>3</v>
      </c>
      <c r="E536" t="s">
        <v>7</v>
      </c>
      <c r="F536">
        <v>73</v>
      </c>
      <c r="G536">
        <v>69</v>
      </c>
      <c r="H536">
        <v>68</v>
      </c>
      <c r="I536" s="1">
        <f>AVERAGE(tblStudents[[#This Row],[Math Score]],tblStudents[[#This Row],[Reading Score]],tblStudents[[#This Row],[Writing Score]])</f>
        <v>70</v>
      </c>
      <c r="J536">
        <f>IF(tblStudents[[#This Row],[Average Score]]&gt;=60,1,0)</f>
        <v>1</v>
      </c>
      <c r="K536" t="str">
        <f>IF(tblStudents[[#This Row],[Average Score]]&gt;=60,"Pass","At Risk")</f>
        <v>Pass</v>
      </c>
      <c r="L536" t="str" cm="1">
        <f t="array" ref="L536">_xlfn.IFS(tblStudents[[#This Row],[Average Score]]&gt;=80,"High",tblStudents[[#This Row],[Average Score]]&gt;=60,"Meets Standard",TRUE,"At Risk")</f>
        <v>Meets Standard</v>
      </c>
      <c r="M5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37" spans="1:13" x14ac:dyDescent="0.25">
      <c r="A537" t="s">
        <v>0</v>
      </c>
      <c r="B537" t="s">
        <v>5</v>
      </c>
      <c r="C537" t="s">
        <v>2</v>
      </c>
      <c r="D537" t="s">
        <v>12</v>
      </c>
      <c r="E537" t="s">
        <v>7</v>
      </c>
      <c r="F537">
        <v>66</v>
      </c>
      <c r="G537">
        <v>83</v>
      </c>
      <c r="H537">
        <v>83</v>
      </c>
      <c r="I537" s="1">
        <f>AVERAGE(tblStudents[[#This Row],[Math Score]],tblStudents[[#This Row],[Reading Score]],tblStudents[[#This Row],[Writing Score]])</f>
        <v>77.333333333333329</v>
      </c>
      <c r="J537">
        <f>IF(tblStudents[[#This Row],[Average Score]]&gt;=60,1,0)</f>
        <v>1</v>
      </c>
      <c r="K537" t="str">
        <f>IF(tblStudents[[#This Row],[Average Score]]&gt;=60,"Pass","At Risk")</f>
        <v>Pass</v>
      </c>
      <c r="L537" t="str" cm="1">
        <f t="array" ref="L537">_xlfn.IFS(tblStudents[[#This Row],[Average Score]]&gt;=80,"High",tblStudents[[#This Row],[Average Score]]&gt;=60,"Meets Standard",TRUE,"At Risk")</f>
        <v>Meets Standard</v>
      </c>
      <c r="M5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538" spans="1:13" x14ac:dyDescent="0.25">
      <c r="A538" t="s">
        <v>9</v>
      </c>
      <c r="B538" t="s">
        <v>5</v>
      </c>
      <c r="C538" t="s">
        <v>11</v>
      </c>
      <c r="D538" t="s">
        <v>3</v>
      </c>
      <c r="E538" t="s">
        <v>7</v>
      </c>
      <c r="F538">
        <v>51</v>
      </c>
      <c r="G538">
        <v>60</v>
      </c>
      <c r="H538">
        <v>58</v>
      </c>
      <c r="I538" s="1">
        <f>AVERAGE(tblStudents[[#This Row],[Math Score]],tblStudents[[#This Row],[Reading Score]],tblStudents[[#This Row],[Writing Score]])</f>
        <v>56.333333333333336</v>
      </c>
      <c r="J538">
        <f>IF(tblStudents[[#This Row],[Average Score]]&gt;=60,1,0)</f>
        <v>0</v>
      </c>
      <c r="K538" t="str">
        <f>IF(tblStudents[[#This Row],[Average Score]]&gt;=60,"Pass","At Risk")</f>
        <v>At Risk</v>
      </c>
      <c r="L538" t="str" cm="1">
        <f t="array" ref="L538">_xlfn.IFS(tblStudents[[#This Row],[Average Score]]&gt;=80,"High",tblStudents[[#This Row],[Average Score]]&gt;=60,"Meets Standard",TRUE,"At Risk")</f>
        <v>At Risk</v>
      </c>
      <c r="M5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539" spans="1:13" x14ac:dyDescent="0.25">
      <c r="A539" t="s">
        <v>0</v>
      </c>
      <c r="B539" t="s">
        <v>13</v>
      </c>
      <c r="C539" t="s">
        <v>14</v>
      </c>
      <c r="D539" t="s">
        <v>3</v>
      </c>
      <c r="E539" t="s">
        <v>4</v>
      </c>
      <c r="F539">
        <v>51</v>
      </c>
      <c r="G539">
        <v>66</v>
      </c>
      <c r="H539">
        <v>62</v>
      </c>
      <c r="I539" s="1">
        <f>AVERAGE(tblStudents[[#This Row],[Math Score]],tblStudents[[#This Row],[Reading Score]],tblStudents[[#This Row],[Writing Score]])</f>
        <v>59.666666666666664</v>
      </c>
      <c r="J539">
        <f>IF(tblStudents[[#This Row],[Average Score]]&gt;=60,1,0)</f>
        <v>0</v>
      </c>
      <c r="K539" t="str">
        <f>IF(tblStudents[[#This Row],[Average Score]]&gt;=60,"Pass","At Risk")</f>
        <v>At Risk</v>
      </c>
      <c r="L539" t="str" cm="1">
        <f t="array" ref="L539">_xlfn.IFS(tblStudents[[#This Row],[Average Score]]&gt;=80,"High",tblStudents[[#This Row],[Average Score]]&gt;=60,"Meets Standard",TRUE,"At Risk")</f>
        <v>At Risk</v>
      </c>
      <c r="M5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40" spans="1:13" x14ac:dyDescent="0.25">
      <c r="A540" t="s">
        <v>9</v>
      </c>
      <c r="B540" t="s">
        <v>16</v>
      </c>
      <c r="C540" t="s">
        <v>2</v>
      </c>
      <c r="D540" t="s">
        <v>3</v>
      </c>
      <c r="E540" t="s">
        <v>7</v>
      </c>
      <c r="F540">
        <v>85</v>
      </c>
      <c r="G540">
        <v>66</v>
      </c>
      <c r="H540">
        <v>71</v>
      </c>
      <c r="I540" s="1">
        <f>AVERAGE(tblStudents[[#This Row],[Math Score]],tblStudents[[#This Row],[Reading Score]],tblStudents[[#This Row],[Writing Score]])</f>
        <v>74</v>
      </c>
      <c r="J540">
        <f>IF(tblStudents[[#This Row],[Average Score]]&gt;=60,1,0)</f>
        <v>1</v>
      </c>
      <c r="K540" t="str">
        <f>IF(tblStudents[[#This Row],[Average Score]]&gt;=60,"Pass","At Risk")</f>
        <v>Pass</v>
      </c>
      <c r="L540" t="str" cm="1">
        <f t="array" ref="L540">_xlfn.IFS(tblStudents[[#This Row],[Average Score]]&gt;=80,"High",tblStudents[[#This Row],[Average Score]]&gt;=60,"Meets Standard",TRUE,"At Risk")</f>
        <v>Meets Standard</v>
      </c>
      <c r="M5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541" spans="1:13" x14ac:dyDescent="0.25">
      <c r="A541" t="s">
        <v>9</v>
      </c>
      <c r="B541" t="s">
        <v>10</v>
      </c>
      <c r="C541" t="s">
        <v>11</v>
      </c>
      <c r="D541" t="s">
        <v>3</v>
      </c>
      <c r="E541" t="s">
        <v>7</v>
      </c>
      <c r="F541">
        <v>97</v>
      </c>
      <c r="G541">
        <v>92</v>
      </c>
      <c r="H541">
        <v>86</v>
      </c>
      <c r="I541" s="1">
        <f>AVERAGE(tblStudents[[#This Row],[Math Score]],tblStudents[[#This Row],[Reading Score]],tblStudents[[#This Row],[Writing Score]])</f>
        <v>91.666666666666671</v>
      </c>
      <c r="J541">
        <f>IF(tblStudents[[#This Row],[Average Score]]&gt;=60,1,0)</f>
        <v>1</v>
      </c>
      <c r="K541" t="str">
        <f>IF(tblStudents[[#This Row],[Average Score]]&gt;=60,"Pass","At Risk")</f>
        <v>Pass</v>
      </c>
      <c r="L541" t="str" cm="1">
        <f t="array" ref="L541">_xlfn.IFS(tblStudents[[#This Row],[Average Score]]&gt;=80,"High",tblStudents[[#This Row],[Average Score]]&gt;=60,"Meets Standard",TRUE,"At Risk")</f>
        <v>High</v>
      </c>
      <c r="M5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42" spans="1:13" x14ac:dyDescent="0.25">
      <c r="A542" t="s">
        <v>9</v>
      </c>
      <c r="B542" t="s">
        <v>5</v>
      </c>
      <c r="C542" t="s">
        <v>14</v>
      </c>
      <c r="D542" t="s">
        <v>3</v>
      </c>
      <c r="E542" t="s">
        <v>7</v>
      </c>
      <c r="F542">
        <v>75</v>
      </c>
      <c r="G542">
        <v>69</v>
      </c>
      <c r="H542">
        <v>68</v>
      </c>
      <c r="I542" s="1">
        <f>AVERAGE(tblStudents[[#This Row],[Math Score]],tblStudents[[#This Row],[Reading Score]],tblStudents[[#This Row],[Writing Score]])</f>
        <v>70.666666666666671</v>
      </c>
      <c r="J542">
        <f>IF(tblStudents[[#This Row],[Average Score]]&gt;=60,1,0)</f>
        <v>1</v>
      </c>
      <c r="K542" t="str">
        <f>IF(tblStudents[[#This Row],[Average Score]]&gt;=60,"Pass","At Risk")</f>
        <v>Pass</v>
      </c>
      <c r="L542" t="str" cm="1">
        <f t="array" ref="L542">_xlfn.IFS(tblStudents[[#This Row],[Average Score]]&gt;=80,"High",tblStudents[[#This Row],[Average Score]]&gt;=60,"Meets Standard",TRUE,"At Risk")</f>
        <v>Meets Standard</v>
      </c>
      <c r="M5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43" spans="1:13" x14ac:dyDescent="0.25">
      <c r="A543" t="s">
        <v>9</v>
      </c>
      <c r="B543" t="s">
        <v>13</v>
      </c>
      <c r="C543" t="s">
        <v>11</v>
      </c>
      <c r="D543" t="s">
        <v>12</v>
      </c>
      <c r="E543" t="s">
        <v>7</v>
      </c>
      <c r="F543">
        <v>79</v>
      </c>
      <c r="G543">
        <v>82</v>
      </c>
      <c r="H543">
        <v>80</v>
      </c>
      <c r="I543" s="1">
        <f>AVERAGE(tblStudents[[#This Row],[Math Score]],tblStudents[[#This Row],[Reading Score]],tblStudents[[#This Row],[Writing Score]])</f>
        <v>80.333333333333329</v>
      </c>
      <c r="J543">
        <f>IF(tblStudents[[#This Row],[Average Score]]&gt;=60,1,0)</f>
        <v>1</v>
      </c>
      <c r="K543" t="str">
        <f>IF(tblStudents[[#This Row],[Average Score]]&gt;=60,"Pass","At Risk")</f>
        <v>Pass</v>
      </c>
      <c r="L543" t="str" cm="1">
        <f t="array" ref="L543">_xlfn.IFS(tblStudents[[#This Row],[Average Score]]&gt;=80,"High",tblStudents[[#This Row],[Average Score]]&gt;=60,"Meets Standard",TRUE,"At Risk")</f>
        <v>High</v>
      </c>
      <c r="M5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544" spans="1:13" x14ac:dyDescent="0.25">
      <c r="A544" t="s">
        <v>0</v>
      </c>
      <c r="B544" t="s">
        <v>5</v>
      </c>
      <c r="C544" t="s">
        <v>11</v>
      </c>
      <c r="D544" t="s">
        <v>3</v>
      </c>
      <c r="E544" t="s">
        <v>4</v>
      </c>
      <c r="F544">
        <v>81</v>
      </c>
      <c r="G544">
        <v>77</v>
      </c>
      <c r="H544">
        <v>79</v>
      </c>
      <c r="I544" s="1">
        <f>AVERAGE(tblStudents[[#This Row],[Math Score]],tblStudents[[#This Row],[Reading Score]],tblStudents[[#This Row],[Writing Score]])</f>
        <v>79</v>
      </c>
      <c r="J544">
        <f>IF(tblStudents[[#This Row],[Average Score]]&gt;=60,1,0)</f>
        <v>1</v>
      </c>
      <c r="K544" t="str">
        <f>IF(tblStudents[[#This Row],[Average Score]]&gt;=60,"Pass","At Risk")</f>
        <v>Pass</v>
      </c>
      <c r="L544" t="str" cm="1">
        <f t="array" ref="L544">_xlfn.IFS(tblStudents[[#This Row],[Average Score]]&gt;=80,"High",tblStudents[[#This Row],[Average Score]]&gt;=60,"Meets Standard",TRUE,"At Risk")</f>
        <v>Meets Standard</v>
      </c>
      <c r="M5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45" spans="1:13" x14ac:dyDescent="0.25">
      <c r="A545" t="s">
        <v>0</v>
      </c>
      <c r="B545" t="s">
        <v>13</v>
      </c>
      <c r="C545" t="s">
        <v>11</v>
      </c>
      <c r="D545" t="s">
        <v>3</v>
      </c>
      <c r="E545" t="s">
        <v>4</v>
      </c>
      <c r="F545">
        <v>82</v>
      </c>
      <c r="G545">
        <v>95</v>
      </c>
      <c r="H545">
        <v>89</v>
      </c>
      <c r="I545" s="1">
        <f>AVERAGE(tblStudents[[#This Row],[Math Score]],tblStudents[[#This Row],[Reading Score]],tblStudents[[#This Row],[Writing Score]])</f>
        <v>88.666666666666671</v>
      </c>
      <c r="J545">
        <f>IF(tblStudents[[#This Row],[Average Score]]&gt;=60,1,0)</f>
        <v>1</v>
      </c>
      <c r="K545" t="str">
        <f>IF(tblStudents[[#This Row],[Average Score]]&gt;=60,"Pass","At Risk")</f>
        <v>Pass</v>
      </c>
      <c r="L545" t="str" cm="1">
        <f t="array" ref="L545">_xlfn.IFS(tblStudents[[#This Row],[Average Score]]&gt;=80,"High",tblStudents[[#This Row],[Average Score]]&gt;=60,"Meets Standard",TRUE,"At Risk")</f>
        <v>High</v>
      </c>
      <c r="M5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546" spans="1:13" x14ac:dyDescent="0.25">
      <c r="A546" t="s">
        <v>0</v>
      </c>
      <c r="B546" t="s">
        <v>13</v>
      </c>
      <c r="C546" t="s">
        <v>8</v>
      </c>
      <c r="D546" t="s">
        <v>3</v>
      </c>
      <c r="E546" t="s">
        <v>4</v>
      </c>
      <c r="F546">
        <v>64</v>
      </c>
      <c r="G546">
        <v>63</v>
      </c>
      <c r="H546">
        <v>66</v>
      </c>
      <c r="I546" s="1">
        <f>AVERAGE(tblStudents[[#This Row],[Math Score]],tblStudents[[#This Row],[Reading Score]],tblStudents[[#This Row],[Writing Score]])</f>
        <v>64.333333333333329</v>
      </c>
      <c r="J546">
        <f>IF(tblStudents[[#This Row],[Average Score]]&gt;=60,1,0)</f>
        <v>1</v>
      </c>
      <c r="K546" t="str">
        <f>IF(tblStudents[[#This Row],[Average Score]]&gt;=60,"Pass","At Risk")</f>
        <v>Pass</v>
      </c>
      <c r="L546" t="str" cm="1">
        <f t="array" ref="L546">_xlfn.IFS(tblStudents[[#This Row],[Average Score]]&gt;=80,"High",tblStudents[[#This Row],[Average Score]]&gt;=60,"Meets Standard",TRUE,"At Risk")</f>
        <v>Meets Standard</v>
      </c>
      <c r="M5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547" spans="1:13" x14ac:dyDescent="0.25">
      <c r="A547" t="s">
        <v>9</v>
      </c>
      <c r="B547" t="s">
        <v>16</v>
      </c>
      <c r="C547" t="s">
        <v>15</v>
      </c>
      <c r="D547" t="s">
        <v>12</v>
      </c>
      <c r="E547" t="s">
        <v>7</v>
      </c>
      <c r="F547">
        <v>78</v>
      </c>
      <c r="G547">
        <v>83</v>
      </c>
      <c r="H547">
        <v>80</v>
      </c>
      <c r="I547" s="1">
        <f>AVERAGE(tblStudents[[#This Row],[Math Score]],tblStudents[[#This Row],[Reading Score]],tblStudents[[#This Row],[Writing Score]])</f>
        <v>80.333333333333329</v>
      </c>
      <c r="J547">
        <f>IF(tblStudents[[#This Row],[Average Score]]&gt;=60,1,0)</f>
        <v>1</v>
      </c>
      <c r="K547" t="str">
        <f>IF(tblStudents[[#This Row],[Average Score]]&gt;=60,"Pass","At Risk")</f>
        <v>Pass</v>
      </c>
      <c r="L547" t="str" cm="1">
        <f t="array" ref="L547">_xlfn.IFS(tblStudents[[#This Row],[Average Score]]&gt;=80,"High",tblStudents[[#This Row],[Average Score]]&gt;=60,"Meets Standard",TRUE,"At Risk")</f>
        <v>High</v>
      </c>
      <c r="M5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48" spans="1:13" x14ac:dyDescent="0.25">
      <c r="A548" t="s">
        <v>0</v>
      </c>
      <c r="B548" t="s">
        <v>10</v>
      </c>
      <c r="C548" t="s">
        <v>15</v>
      </c>
      <c r="D548" t="s">
        <v>3</v>
      </c>
      <c r="E548" t="s">
        <v>7</v>
      </c>
      <c r="F548">
        <v>92</v>
      </c>
      <c r="G548">
        <v>100</v>
      </c>
      <c r="H548">
        <v>97</v>
      </c>
      <c r="I548" s="1">
        <f>AVERAGE(tblStudents[[#This Row],[Math Score]],tblStudents[[#This Row],[Reading Score]],tblStudents[[#This Row],[Writing Score]])</f>
        <v>96.333333333333329</v>
      </c>
      <c r="J548">
        <f>IF(tblStudents[[#This Row],[Average Score]]&gt;=60,1,0)</f>
        <v>1</v>
      </c>
      <c r="K548" t="str">
        <f>IF(tblStudents[[#This Row],[Average Score]]&gt;=60,"Pass","At Risk")</f>
        <v>Pass</v>
      </c>
      <c r="L548" t="str" cm="1">
        <f t="array" ref="L548">_xlfn.IFS(tblStudents[[#This Row],[Average Score]]&gt;=80,"High",tblStudents[[#This Row],[Average Score]]&gt;=60,"Meets Standard",TRUE,"At Risk")</f>
        <v>High</v>
      </c>
      <c r="M5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49" spans="1:13" x14ac:dyDescent="0.25">
      <c r="A549" t="s">
        <v>9</v>
      </c>
      <c r="B549" t="s">
        <v>5</v>
      </c>
      <c r="C549" t="s">
        <v>14</v>
      </c>
      <c r="D549" t="s">
        <v>3</v>
      </c>
      <c r="E549" t="s">
        <v>7</v>
      </c>
      <c r="F549">
        <v>72</v>
      </c>
      <c r="G549">
        <v>67</v>
      </c>
      <c r="H549">
        <v>64</v>
      </c>
      <c r="I549" s="1">
        <f>AVERAGE(tblStudents[[#This Row],[Math Score]],tblStudents[[#This Row],[Reading Score]],tblStudents[[#This Row],[Writing Score]])</f>
        <v>67.666666666666671</v>
      </c>
      <c r="J549">
        <f>IF(tblStudents[[#This Row],[Average Score]]&gt;=60,1,0)</f>
        <v>1</v>
      </c>
      <c r="K549" t="str">
        <f>IF(tblStudents[[#This Row],[Average Score]]&gt;=60,"Pass","At Risk")</f>
        <v>Pass</v>
      </c>
      <c r="L549" t="str" cm="1">
        <f t="array" ref="L549">_xlfn.IFS(tblStudents[[#This Row],[Average Score]]&gt;=80,"High",tblStudents[[#This Row],[Average Score]]&gt;=60,"Meets Standard",TRUE,"At Risk")</f>
        <v>Meets Standard</v>
      </c>
      <c r="M5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50" spans="1:13" x14ac:dyDescent="0.25">
      <c r="A550" t="s">
        <v>0</v>
      </c>
      <c r="B550" t="s">
        <v>5</v>
      </c>
      <c r="C550" t="s">
        <v>14</v>
      </c>
      <c r="D550" t="s">
        <v>12</v>
      </c>
      <c r="E550" t="s">
        <v>4</v>
      </c>
      <c r="F550">
        <v>62</v>
      </c>
      <c r="G550">
        <v>67</v>
      </c>
      <c r="H550">
        <v>64</v>
      </c>
      <c r="I550" s="1">
        <f>AVERAGE(tblStudents[[#This Row],[Math Score]],tblStudents[[#This Row],[Reading Score]],tblStudents[[#This Row],[Writing Score]])</f>
        <v>64.333333333333329</v>
      </c>
      <c r="J550">
        <f>IF(tblStudents[[#This Row],[Average Score]]&gt;=60,1,0)</f>
        <v>1</v>
      </c>
      <c r="K550" t="str">
        <f>IF(tblStudents[[#This Row],[Average Score]]&gt;=60,"Pass","At Risk")</f>
        <v>Pass</v>
      </c>
      <c r="L550" t="str" cm="1">
        <f t="array" ref="L550">_xlfn.IFS(tblStudents[[#This Row],[Average Score]]&gt;=80,"High",tblStudents[[#This Row],[Average Score]]&gt;=60,"Meets Standard",TRUE,"At Risk")</f>
        <v>Meets Standard</v>
      </c>
      <c r="M5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51" spans="1:13" x14ac:dyDescent="0.25">
      <c r="A551" t="s">
        <v>9</v>
      </c>
      <c r="B551" t="s">
        <v>5</v>
      </c>
      <c r="C551" t="s">
        <v>8</v>
      </c>
      <c r="D551" t="s">
        <v>3</v>
      </c>
      <c r="E551" t="s">
        <v>4</v>
      </c>
      <c r="F551">
        <v>79</v>
      </c>
      <c r="G551">
        <v>72</v>
      </c>
      <c r="H551">
        <v>69</v>
      </c>
      <c r="I551" s="1">
        <f>AVERAGE(tblStudents[[#This Row],[Math Score]],tblStudents[[#This Row],[Reading Score]],tblStudents[[#This Row],[Writing Score]])</f>
        <v>73.333333333333329</v>
      </c>
      <c r="J551">
        <f>IF(tblStudents[[#This Row],[Average Score]]&gt;=60,1,0)</f>
        <v>1</v>
      </c>
      <c r="K551" t="str">
        <f>IF(tblStudents[[#This Row],[Average Score]]&gt;=60,"Pass","At Risk")</f>
        <v>Pass</v>
      </c>
      <c r="L551" t="str" cm="1">
        <f t="array" ref="L551">_xlfn.IFS(tblStudents[[#This Row],[Average Score]]&gt;=80,"High",tblStudents[[#This Row],[Average Score]]&gt;=60,"Meets Standard",TRUE,"At Risk")</f>
        <v>Meets Standard</v>
      </c>
      <c r="M5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52" spans="1:13" x14ac:dyDescent="0.25">
      <c r="A552" t="s">
        <v>9</v>
      </c>
      <c r="B552" t="s">
        <v>5</v>
      </c>
      <c r="C552" t="s">
        <v>15</v>
      </c>
      <c r="D552" t="s">
        <v>12</v>
      </c>
      <c r="E552" t="s">
        <v>4</v>
      </c>
      <c r="F552">
        <v>79</v>
      </c>
      <c r="G552">
        <v>76</v>
      </c>
      <c r="H552">
        <v>65</v>
      </c>
      <c r="I552" s="1">
        <f>AVERAGE(tblStudents[[#This Row],[Math Score]],tblStudents[[#This Row],[Reading Score]],tblStudents[[#This Row],[Writing Score]])</f>
        <v>73.333333333333329</v>
      </c>
      <c r="J552">
        <f>IF(tblStudents[[#This Row],[Average Score]]&gt;=60,1,0)</f>
        <v>1</v>
      </c>
      <c r="K552" t="str">
        <f>IF(tblStudents[[#This Row],[Average Score]]&gt;=60,"Pass","At Risk")</f>
        <v>Pass</v>
      </c>
      <c r="L552" t="str" cm="1">
        <f t="array" ref="L552">_xlfn.IFS(tblStudents[[#This Row],[Average Score]]&gt;=80,"High",tblStudents[[#This Row],[Average Score]]&gt;=60,"Meets Standard",TRUE,"At Risk")</f>
        <v>Meets Standard</v>
      </c>
      <c r="M5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553" spans="1:13" x14ac:dyDescent="0.25">
      <c r="A553" t="s">
        <v>9</v>
      </c>
      <c r="B553" t="s">
        <v>1</v>
      </c>
      <c r="C553" t="s">
        <v>2</v>
      </c>
      <c r="D553" t="s">
        <v>12</v>
      </c>
      <c r="E553" t="s">
        <v>7</v>
      </c>
      <c r="F553">
        <v>87</v>
      </c>
      <c r="G553">
        <v>90</v>
      </c>
      <c r="H553">
        <v>88</v>
      </c>
      <c r="I553" s="1">
        <f>AVERAGE(tblStudents[[#This Row],[Math Score]],tblStudents[[#This Row],[Reading Score]],tblStudents[[#This Row],[Writing Score]])</f>
        <v>88.333333333333329</v>
      </c>
      <c r="J553">
        <f>IF(tblStudents[[#This Row],[Average Score]]&gt;=60,1,0)</f>
        <v>1</v>
      </c>
      <c r="K553" t="str">
        <f>IF(tblStudents[[#This Row],[Average Score]]&gt;=60,"Pass","At Risk")</f>
        <v>Pass</v>
      </c>
      <c r="L553" t="str" cm="1">
        <f t="array" ref="L553">_xlfn.IFS(tblStudents[[#This Row],[Average Score]]&gt;=80,"High",tblStudents[[#This Row],[Average Score]]&gt;=60,"Meets Standard",TRUE,"At Risk")</f>
        <v>High</v>
      </c>
      <c r="M5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554" spans="1:13" x14ac:dyDescent="0.25">
      <c r="A554" t="s">
        <v>0</v>
      </c>
      <c r="B554" t="s">
        <v>1</v>
      </c>
      <c r="C554" t="s">
        <v>11</v>
      </c>
      <c r="D554" t="s">
        <v>3</v>
      </c>
      <c r="E554" t="s">
        <v>4</v>
      </c>
      <c r="F554">
        <v>40</v>
      </c>
      <c r="G554">
        <v>48</v>
      </c>
      <c r="H554">
        <v>50</v>
      </c>
      <c r="I554" s="1">
        <f>AVERAGE(tblStudents[[#This Row],[Math Score]],tblStudents[[#This Row],[Reading Score]],tblStudents[[#This Row],[Writing Score]])</f>
        <v>46</v>
      </c>
      <c r="J554">
        <f>IF(tblStudents[[#This Row],[Average Score]]&gt;=60,1,0)</f>
        <v>0</v>
      </c>
      <c r="K554" t="str">
        <f>IF(tblStudents[[#This Row],[Average Score]]&gt;=60,"Pass","At Risk")</f>
        <v>At Risk</v>
      </c>
      <c r="L554" t="str" cm="1">
        <f t="array" ref="L554">_xlfn.IFS(tblStudents[[#This Row],[Average Score]]&gt;=80,"High",tblStudents[[#This Row],[Average Score]]&gt;=60,"Meets Standard",TRUE,"At Risk")</f>
        <v>At Risk</v>
      </c>
      <c r="M5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55" spans="1:13" x14ac:dyDescent="0.25">
      <c r="A555" t="s">
        <v>9</v>
      </c>
      <c r="B555" t="s">
        <v>13</v>
      </c>
      <c r="C555" t="s">
        <v>6</v>
      </c>
      <c r="D555" t="s">
        <v>12</v>
      </c>
      <c r="E555" t="s">
        <v>4</v>
      </c>
      <c r="F555">
        <v>77</v>
      </c>
      <c r="G555">
        <v>62</v>
      </c>
      <c r="H555">
        <v>64</v>
      </c>
      <c r="I555" s="1">
        <f>AVERAGE(tblStudents[[#This Row],[Math Score]],tblStudents[[#This Row],[Reading Score]],tblStudents[[#This Row],[Writing Score]])</f>
        <v>67.666666666666671</v>
      </c>
      <c r="J555">
        <f>IF(tblStudents[[#This Row],[Average Score]]&gt;=60,1,0)</f>
        <v>1</v>
      </c>
      <c r="K555" t="str">
        <f>IF(tblStudents[[#This Row],[Average Score]]&gt;=60,"Pass","At Risk")</f>
        <v>Pass</v>
      </c>
      <c r="L555" t="str" cm="1">
        <f t="array" ref="L555">_xlfn.IFS(tblStudents[[#This Row],[Average Score]]&gt;=80,"High",tblStudents[[#This Row],[Average Score]]&gt;=60,"Meets Standard",TRUE,"At Risk")</f>
        <v>Meets Standard</v>
      </c>
      <c r="M5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56" spans="1:13" x14ac:dyDescent="0.25">
      <c r="A556" t="s">
        <v>9</v>
      </c>
      <c r="B556" t="s">
        <v>16</v>
      </c>
      <c r="C556" t="s">
        <v>11</v>
      </c>
      <c r="D556" t="s">
        <v>3</v>
      </c>
      <c r="E556" t="s">
        <v>4</v>
      </c>
      <c r="F556">
        <v>53</v>
      </c>
      <c r="G556">
        <v>45</v>
      </c>
      <c r="H556">
        <v>40</v>
      </c>
      <c r="I556" s="1">
        <f>AVERAGE(tblStudents[[#This Row],[Math Score]],tblStudents[[#This Row],[Reading Score]],tblStudents[[#This Row],[Writing Score]])</f>
        <v>46</v>
      </c>
      <c r="J556">
        <f>IF(tblStudents[[#This Row],[Average Score]]&gt;=60,1,0)</f>
        <v>0</v>
      </c>
      <c r="K556" t="str">
        <f>IF(tblStudents[[#This Row],[Average Score]]&gt;=60,"Pass","At Risk")</f>
        <v>At Risk</v>
      </c>
      <c r="L556" t="str" cm="1">
        <f t="array" ref="L556">_xlfn.IFS(tblStudents[[#This Row],[Average Score]]&gt;=80,"High",tblStudents[[#This Row],[Average Score]]&gt;=60,"Meets Standard",TRUE,"At Risk")</f>
        <v>At Risk</v>
      </c>
      <c r="M5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557" spans="1:13" x14ac:dyDescent="0.25">
      <c r="A557" t="s">
        <v>0</v>
      </c>
      <c r="B557" t="s">
        <v>5</v>
      </c>
      <c r="C557" t="s">
        <v>6</v>
      </c>
      <c r="D557" t="s">
        <v>12</v>
      </c>
      <c r="E557" t="s">
        <v>4</v>
      </c>
      <c r="F557">
        <v>32</v>
      </c>
      <c r="G557">
        <v>39</v>
      </c>
      <c r="H557">
        <v>33</v>
      </c>
      <c r="I557" s="1">
        <f>AVERAGE(tblStudents[[#This Row],[Math Score]],tblStudents[[#This Row],[Reading Score]],tblStudents[[#This Row],[Writing Score]])</f>
        <v>34.666666666666664</v>
      </c>
      <c r="J557">
        <f>IF(tblStudents[[#This Row],[Average Score]]&gt;=60,1,0)</f>
        <v>0</v>
      </c>
      <c r="K557" t="str">
        <f>IF(tblStudents[[#This Row],[Average Score]]&gt;=60,"Pass","At Risk")</f>
        <v>At Risk</v>
      </c>
      <c r="L557" t="str" cm="1">
        <f t="array" ref="L557">_xlfn.IFS(tblStudents[[#This Row],[Average Score]]&gt;=80,"High",tblStudents[[#This Row],[Average Score]]&gt;=60,"Meets Standard",TRUE,"At Risk")</f>
        <v>At Risk</v>
      </c>
      <c r="M5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58" spans="1:13" x14ac:dyDescent="0.25">
      <c r="A558" t="s">
        <v>0</v>
      </c>
      <c r="B558" t="s">
        <v>5</v>
      </c>
      <c r="C558" t="s">
        <v>11</v>
      </c>
      <c r="D558" t="s">
        <v>3</v>
      </c>
      <c r="E558" t="s">
        <v>7</v>
      </c>
      <c r="F558">
        <v>55</v>
      </c>
      <c r="G558">
        <v>72</v>
      </c>
      <c r="H558">
        <v>79</v>
      </c>
      <c r="I558" s="1">
        <f>AVERAGE(tblStudents[[#This Row],[Math Score]],tblStudents[[#This Row],[Reading Score]],tblStudents[[#This Row],[Writing Score]])</f>
        <v>68.666666666666671</v>
      </c>
      <c r="J558">
        <f>IF(tblStudents[[#This Row],[Average Score]]&gt;=60,1,0)</f>
        <v>1</v>
      </c>
      <c r="K558" t="str">
        <f>IF(tblStudents[[#This Row],[Average Score]]&gt;=60,"Pass","At Risk")</f>
        <v>Pass</v>
      </c>
      <c r="L558" t="str" cm="1">
        <f t="array" ref="L558">_xlfn.IFS(tblStudents[[#This Row],[Average Score]]&gt;=80,"High",tblStudents[[#This Row],[Average Score]]&gt;=60,"Meets Standard",TRUE,"At Risk")</f>
        <v>Meets Standard</v>
      </c>
      <c r="M5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24</v>
      </c>
    </row>
    <row r="559" spans="1:13" x14ac:dyDescent="0.25">
      <c r="A559" t="s">
        <v>9</v>
      </c>
      <c r="B559" t="s">
        <v>5</v>
      </c>
      <c r="C559" t="s">
        <v>8</v>
      </c>
      <c r="D559" t="s">
        <v>12</v>
      </c>
      <c r="E559" t="s">
        <v>4</v>
      </c>
      <c r="F559">
        <v>61</v>
      </c>
      <c r="G559">
        <v>67</v>
      </c>
      <c r="H559">
        <v>66</v>
      </c>
      <c r="I559" s="1">
        <f>AVERAGE(tblStudents[[#This Row],[Math Score]],tblStudents[[#This Row],[Reading Score]],tblStudents[[#This Row],[Writing Score]])</f>
        <v>64.666666666666671</v>
      </c>
      <c r="J559">
        <f>IF(tblStudents[[#This Row],[Average Score]]&gt;=60,1,0)</f>
        <v>1</v>
      </c>
      <c r="K559" t="str">
        <f>IF(tblStudents[[#This Row],[Average Score]]&gt;=60,"Pass","At Risk")</f>
        <v>Pass</v>
      </c>
      <c r="L559" t="str" cm="1">
        <f t="array" ref="L559">_xlfn.IFS(tblStudents[[#This Row],[Average Score]]&gt;=80,"High",tblStudents[[#This Row],[Average Score]]&gt;=60,"Meets Standard",TRUE,"At Risk")</f>
        <v>Meets Standard</v>
      </c>
      <c r="M5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560" spans="1:13" x14ac:dyDescent="0.25">
      <c r="A560" t="s">
        <v>0</v>
      </c>
      <c r="B560" t="s">
        <v>1</v>
      </c>
      <c r="C560" t="s">
        <v>11</v>
      </c>
      <c r="D560" t="s">
        <v>12</v>
      </c>
      <c r="E560" t="s">
        <v>4</v>
      </c>
      <c r="F560">
        <v>53</v>
      </c>
      <c r="G560">
        <v>70</v>
      </c>
      <c r="H560">
        <v>70</v>
      </c>
      <c r="I560" s="1">
        <f>AVERAGE(tblStudents[[#This Row],[Math Score]],tblStudents[[#This Row],[Reading Score]],tblStudents[[#This Row],[Writing Score]])</f>
        <v>64.333333333333329</v>
      </c>
      <c r="J560">
        <f>IF(tblStudents[[#This Row],[Average Score]]&gt;=60,1,0)</f>
        <v>1</v>
      </c>
      <c r="K560" t="str">
        <f>IF(tblStudents[[#This Row],[Average Score]]&gt;=60,"Pass","At Risk")</f>
        <v>Pass</v>
      </c>
      <c r="L560" t="str" cm="1">
        <f t="array" ref="L560">_xlfn.IFS(tblStudents[[#This Row],[Average Score]]&gt;=80,"High",tblStudents[[#This Row],[Average Score]]&gt;=60,"Meets Standard",TRUE,"At Risk")</f>
        <v>Meets Standard</v>
      </c>
      <c r="M5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561" spans="1:13" x14ac:dyDescent="0.25">
      <c r="A561" t="s">
        <v>9</v>
      </c>
      <c r="B561" t="s">
        <v>13</v>
      </c>
      <c r="C561" t="s">
        <v>15</v>
      </c>
      <c r="D561" t="s">
        <v>3</v>
      </c>
      <c r="E561" t="s">
        <v>4</v>
      </c>
      <c r="F561">
        <v>73</v>
      </c>
      <c r="G561">
        <v>66</v>
      </c>
      <c r="H561">
        <v>62</v>
      </c>
      <c r="I561" s="1">
        <f>AVERAGE(tblStudents[[#This Row],[Math Score]],tblStudents[[#This Row],[Reading Score]],tblStudents[[#This Row],[Writing Score]])</f>
        <v>67</v>
      </c>
      <c r="J561">
        <f>IF(tblStudents[[#This Row],[Average Score]]&gt;=60,1,0)</f>
        <v>1</v>
      </c>
      <c r="K561" t="str">
        <f>IF(tblStudents[[#This Row],[Average Score]]&gt;=60,"Pass","At Risk")</f>
        <v>Pass</v>
      </c>
      <c r="L561" t="str" cm="1">
        <f t="array" ref="L561">_xlfn.IFS(tblStudents[[#This Row],[Average Score]]&gt;=80,"High",tblStudents[[#This Row],[Average Score]]&gt;=60,"Meets Standard",TRUE,"At Risk")</f>
        <v>Meets Standard</v>
      </c>
      <c r="M5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62" spans="1:13" x14ac:dyDescent="0.25">
      <c r="A562" t="s">
        <v>0</v>
      </c>
      <c r="B562" t="s">
        <v>13</v>
      </c>
      <c r="C562" t="s">
        <v>6</v>
      </c>
      <c r="D562" t="s">
        <v>3</v>
      </c>
      <c r="E562" t="s">
        <v>7</v>
      </c>
      <c r="F562">
        <v>74</v>
      </c>
      <c r="G562">
        <v>75</v>
      </c>
      <c r="H562">
        <v>79</v>
      </c>
      <c r="I562" s="1">
        <f>AVERAGE(tblStudents[[#This Row],[Math Score]],tblStudents[[#This Row],[Reading Score]],tblStudents[[#This Row],[Writing Score]])</f>
        <v>76</v>
      </c>
      <c r="J562">
        <f>IF(tblStudents[[#This Row],[Average Score]]&gt;=60,1,0)</f>
        <v>1</v>
      </c>
      <c r="K562" t="str">
        <f>IF(tblStudents[[#This Row],[Average Score]]&gt;=60,"Pass","At Risk")</f>
        <v>Pass</v>
      </c>
      <c r="L562" t="str" cm="1">
        <f t="array" ref="L562">_xlfn.IFS(tblStudents[[#This Row],[Average Score]]&gt;=80,"High",tblStudents[[#This Row],[Average Score]]&gt;=60,"Meets Standard",TRUE,"At Risk")</f>
        <v>Meets Standard</v>
      </c>
      <c r="M5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63" spans="1:13" x14ac:dyDescent="0.25">
      <c r="A563" t="s">
        <v>0</v>
      </c>
      <c r="B563" t="s">
        <v>5</v>
      </c>
      <c r="C563" t="s">
        <v>6</v>
      </c>
      <c r="D563" t="s">
        <v>3</v>
      </c>
      <c r="E563" t="s">
        <v>4</v>
      </c>
      <c r="F563">
        <v>63</v>
      </c>
      <c r="G563">
        <v>74</v>
      </c>
      <c r="H563">
        <v>74</v>
      </c>
      <c r="I563" s="1">
        <f>AVERAGE(tblStudents[[#This Row],[Math Score]],tblStudents[[#This Row],[Reading Score]],tblStudents[[#This Row],[Writing Score]])</f>
        <v>70.333333333333329</v>
      </c>
      <c r="J563">
        <f>IF(tblStudents[[#This Row],[Average Score]]&gt;=60,1,0)</f>
        <v>1</v>
      </c>
      <c r="K563" t="str">
        <f>IF(tblStudents[[#This Row],[Average Score]]&gt;=60,"Pass","At Risk")</f>
        <v>Pass</v>
      </c>
      <c r="L563" t="str" cm="1">
        <f t="array" ref="L563">_xlfn.IFS(tblStudents[[#This Row],[Average Score]]&gt;=80,"High",tblStudents[[#This Row],[Average Score]]&gt;=60,"Meets Standard",TRUE,"At Risk")</f>
        <v>Meets Standard</v>
      </c>
      <c r="M5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64" spans="1:13" x14ac:dyDescent="0.25">
      <c r="A564" t="s">
        <v>9</v>
      </c>
      <c r="B564" t="s">
        <v>5</v>
      </c>
      <c r="C564" t="s">
        <v>2</v>
      </c>
      <c r="D564" t="s">
        <v>3</v>
      </c>
      <c r="E564" t="s">
        <v>7</v>
      </c>
      <c r="F564">
        <v>96</v>
      </c>
      <c r="G564">
        <v>90</v>
      </c>
      <c r="H564">
        <v>92</v>
      </c>
      <c r="I564" s="1">
        <f>AVERAGE(tblStudents[[#This Row],[Math Score]],tblStudents[[#This Row],[Reading Score]],tblStudents[[#This Row],[Writing Score]])</f>
        <v>92.666666666666671</v>
      </c>
      <c r="J564">
        <f>IF(tblStudents[[#This Row],[Average Score]]&gt;=60,1,0)</f>
        <v>1</v>
      </c>
      <c r="K564" t="str">
        <f>IF(tblStudents[[#This Row],[Average Score]]&gt;=60,"Pass","At Risk")</f>
        <v>Pass</v>
      </c>
      <c r="L564" t="str" cm="1">
        <f t="array" ref="L564">_xlfn.IFS(tblStudents[[#This Row],[Average Score]]&gt;=80,"High",tblStudents[[#This Row],[Average Score]]&gt;=60,"Meets Standard",TRUE,"At Risk")</f>
        <v>High</v>
      </c>
      <c r="M5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565" spans="1:13" x14ac:dyDescent="0.25">
      <c r="A565" t="s">
        <v>0</v>
      </c>
      <c r="B565" t="s">
        <v>13</v>
      </c>
      <c r="C565" t="s">
        <v>6</v>
      </c>
      <c r="D565" t="s">
        <v>12</v>
      </c>
      <c r="E565" t="s">
        <v>7</v>
      </c>
      <c r="F565">
        <v>63</v>
      </c>
      <c r="G565">
        <v>80</v>
      </c>
      <c r="H565">
        <v>80</v>
      </c>
      <c r="I565" s="1">
        <f>AVERAGE(tblStudents[[#This Row],[Math Score]],tblStudents[[#This Row],[Reading Score]],tblStudents[[#This Row],[Writing Score]])</f>
        <v>74.333333333333329</v>
      </c>
      <c r="J565">
        <f>IF(tblStudents[[#This Row],[Average Score]]&gt;=60,1,0)</f>
        <v>1</v>
      </c>
      <c r="K565" t="str">
        <f>IF(tblStudents[[#This Row],[Average Score]]&gt;=60,"Pass","At Risk")</f>
        <v>Pass</v>
      </c>
      <c r="L565" t="str" cm="1">
        <f t="array" ref="L565">_xlfn.IFS(tblStudents[[#This Row],[Average Score]]&gt;=80,"High",tblStudents[[#This Row],[Average Score]]&gt;=60,"Meets Standard",TRUE,"At Risk")</f>
        <v>Meets Standard</v>
      </c>
      <c r="M5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566" spans="1:13" x14ac:dyDescent="0.25">
      <c r="A566" t="s">
        <v>9</v>
      </c>
      <c r="B566" t="s">
        <v>1</v>
      </c>
      <c r="C566" t="s">
        <v>2</v>
      </c>
      <c r="D566" t="s">
        <v>12</v>
      </c>
      <c r="E566" t="s">
        <v>4</v>
      </c>
      <c r="F566">
        <v>48</v>
      </c>
      <c r="G566">
        <v>51</v>
      </c>
      <c r="H566">
        <v>46</v>
      </c>
      <c r="I566" s="1">
        <f>AVERAGE(tblStudents[[#This Row],[Math Score]],tblStudents[[#This Row],[Reading Score]],tblStudents[[#This Row],[Writing Score]])</f>
        <v>48.333333333333336</v>
      </c>
      <c r="J566">
        <f>IF(tblStudents[[#This Row],[Average Score]]&gt;=60,1,0)</f>
        <v>0</v>
      </c>
      <c r="K566" t="str">
        <f>IF(tblStudents[[#This Row],[Average Score]]&gt;=60,"Pass","At Risk")</f>
        <v>At Risk</v>
      </c>
      <c r="L566" t="str" cm="1">
        <f t="array" ref="L566">_xlfn.IFS(tblStudents[[#This Row],[Average Score]]&gt;=80,"High",tblStudents[[#This Row],[Average Score]]&gt;=60,"Meets Standard",TRUE,"At Risk")</f>
        <v>At Risk</v>
      </c>
      <c r="M5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67" spans="1:13" x14ac:dyDescent="0.25">
      <c r="A567" t="s">
        <v>9</v>
      </c>
      <c r="B567" t="s">
        <v>1</v>
      </c>
      <c r="C567" t="s">
        <v>11</v>
      </c>
      <c r="D567" t="s">
        <v>3</v>
      </c>
      <c r="E567" t="s">
        <v>4</v>
      </c>
      <c r="F567">
        <v>48</v>
      </c>
      <c r="G567">
        <v>43</v>
      </c>
      <c r="H567">
        <v>45</v>
      </c>
      <c r="I567" s="1">
        <f>AVERAGE(tblStudents[[#This Row],[Math Score]],tblStudents[[#This Row],[Reading Score]],tblStudents[[#This Row],[Writing Score]])</f>
        <v>45.333333333333336</v>
      </c>
      <c r="J567">
        <f>IF(tblStudents[[#This Row],[Average Score]]&gt;=60,1,0)</f>
        <v>0</v>
      </c>
      <c r="K567" t="str">
        <f>IF(tblStudents[[#This Row],[Average Score]]&gt;=60,"Pass","At Risk")</f>
        <v>At Risk</v>
      </c>
      <c r="L567" t="str" cm="1">
        <f t="array" ref="L567">_xlfn.IFS(tblStudents[[#This Row],[Average Score]]&gt;=80,"High",tblStudents[[#This Row],[Average Score]]&gt;=60,"Meets Standard",TRUE,"At Risk")</f>
        <v>At Risk</v>
      </c>
      <c r="M5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68" spans="1:13" x14ac:dyDescent="0.25">
      <c r="A568" t="s">
        <v>0</v>
      </c>
      <c r="B568" t="s">
        <v>16</v>
      </c>
      <c r="C568" t="s">
        <v>2</v>
      </c>
      <c r="D568" t="s">
        <v>12</v>
      </c>
      <c r="E568" t="s">
        <v>7</v>
      </c>
      <c r="F568">
        <v>92</v>
      </c>
      <c r="G568">
        <v>100</v>
      </c>
      <c r="H568">
        <v>100</v>
      </c>
      <c r="I568" s="1">
        <f>AVERAGE(tblStudents[[#This Row],[Math Score]],tblStudents[[#This Row],[Reading Score]],tblStudents[[#This Row],[Writing Score]])</f>
        <v>97.333333333333329</v>
      </c>
      <c r="J568">
        <f>IF(tblStudents[[#This Row],[Average Score]]&gt;=60,1,0)</f>
        <v>1</v>
      </c>
      <c r="K568" t="str">
        <f>IF(tblStudents[[#This Row],[Average Score]]&gt;=60,"Pass","At Risk")</f>
        <v>Pass</v>
      </c>
      <c r="L568" t="str" cm="1">
        <f t="array" ref="L568">_xlfn.IFS(tblStudents[[#This Row],[Average Score]]&gt;=80,"High",tblStudents[[#This Row],[Average Score]]&gt;=60,"Meets Standard",TRUE,"At Risk")</f>
        <v>High</v>
      </c>
      <c r="M5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69" spans="1:13" x14ac:dyDescent="0.25">
      <c r="A569" t="s">
        <v>0</v>
      </c>
      <c r="B569" t="s">
        <v>13</v>
      </c>
      <c r="C569" t="s">
        <v>8</v>
      </c>
      <c r="D569" t="s">
        <v>12</v>
      </c>
      <c r="E569" t="s">
        <v>7</v>
      </c>
      <c r="F569">
        <v>61</v>
      </c>
      <c r="G569">
        <v>71</v>
      </c>
      <c r="H569">
        <v>78</v>
      </c>
      <c r="I569" s="1">
        <f>AVERAGE(tblStudents[[#This Row],[Math Score]],tblStudents[[#This Row],[Reading Score]],tblStudents[[#This Row],[Writing Score]])</f>
        <v>70</v>
      </c>
      <c r="J569">
        <f>IF(tblStudents[[#This Row],[Average Score]]&gt;=60,1,0)</f>
        <v>1</v>
      </c>
      <c r="K569" t="str">
        <f>IF(tblStudents[[#This Row],[Average Score]]&gt;=60,"Pass","At Risk")</f>
        <v>Pass</v>
      </c>
      <c r="L569" t="str" cm="1">
        <f t="array" ref="L569">_xlfn.IFS(tblStudents[[#This Row],[Average Score]]&gt;=80,"High",tblStudents[[#This Row],[Average Score]]&gt;=60,"Meets Standard",TRUE,"At Risk")</f>
        <v>Meets Standard</v>
      </c>
      <c r="M5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570" spans="1:13" x14ac:dyDescent="0.25">
      <c r="A570" t="s">
        <v>9</v>
      </c>
      <c r="B570" t="s">
        <v>1</v>
      </c>
      <c r="C570" t="s">
        <v>14</v>
      </c>
      <c r="D570" t="s">
        <v>12</v>
      </c>
      <c r="E570" t="s">
        <v>4</v>
      </c>
      <c r="F570">
        <v>63</v>
      </c>
      <c r="G570">
        <v>48</v>
      </c>
      <c r="H570">
        <v>47</v>
      </c>
      <c r="I570" s="1">
        <f>AVERAGE(tblStudents[[#This Row],[Math Score]],tblStudents[[#This Row],[Reading Score]],tblStudents[[#This Row],[Writing Score]])</f>
        <v>52.666666666666664</v>
      </c>
      <c r="J570">
        <f>IF(tblStudents[[#This Row],[Average Score]]&gt;=60,1,0)</f>
        <v>0</v>
      </c>
      <c r="K570" t="str">
        <f>IF(tblStudents[[#This Row],[Average Score]]&gt;=60,"Pass","At Risk")</f>
        <v>At Risk</v>
      </c>
      <c r="L570" t="str" cm="1">
        <f t="array" ref="L570">_xlfn.IFS(tblStudents[[#This Row],[Average Score]]&gt;=80,"High",tblStudents[[#This Row],[Average Score]]&gt;=60,"Meets Standard",TRUE,"At Risk")</f>
        <v>At Risk</v>
      </c>
      <c r="M5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571" spans="1:13" x14ac:dyDescent="0.25">
      <c r="A571" t="s">
        <v>9</v>
      </c>
      <c r="B571" t="s">
        <v>13</v>
      </c>
      <c r="C571" t="s">
        <v>2</v>
      </c>
      <c r="D571" t="s">
        <v>12</v>
      </c>
      <c r="E571" t="s">
        <v>4</v>
      </c>
      <c r="F571">
        <v>68</v>
      </c>
      <c r="G571">
        <v>68</v>
      </c>
      <c r="H571">
        <v>67</v>
      </c>
      <c r="I571" s="1">
        <f>AVERAGE(tblStudents[[#This Row],[Math Score]],tblStudents[[#This Row],[Reading Score]],tblStudents[[#This Row],[Writing Score]])</f>
        <v>67.666666666666671</v>
      </c>
      <c r="J571">
        <f>IF(tblStudents[[#This Row],[Average Score]]&gt;=60,1,0)</f>
        <v>1</v>
      </c>
      <c r="K571" t="str">
        <f>IF(tblStudents[[#This Row],[Average Score]]&gt;=60,"Pass","At Risk")</f>
        <v>Pass</v>
      </c>
      <c r="L571" t="str" cm="1">
        <f t="array" ref="L571">_xlfn.IFS(tblStudents[[#This Row],[Average Score]]&gt;=80,"High",tblStudents[[#This Row],[Average Score]]&gt;=60,"Meets Standard",TRUE,"At Risk")</f>
        <v>Meets Standard</v>
      </c>
      <c r="M5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572" spans="1:13" x14ac:dyDescent="0.25">
      <c r="A572" t="s">
        <v>9</v>
      </c>
      <c r="B572" t="s">
        <v>1</v>
      </c>
      <c r="C572" t="s">
        <v>6</v>
      </c>
      <c r="D572" t="s">
        <v>3</v>
      </c>
      <c r="E572" t="s">
        <v>7</v>
      </c>
      <c r="F572">
        <v>71</v>
      </c>
      <c r="G572">
        <v>75</v>
      </c>
      <c r="H572">
        <v>70</v>
      </c>
      <c r="I572" s="1">
        <f>AVERAGE(tblStudents[[#This Row],[Math Score]],tblStudents[[#This Row],[Reading Score]],tblStudents[[#This Row],[Writing Score]])</f>
        <v>72</v>
      </c>
      <c r="J572">
        <f>IF(tblStudents[[#This Row],[Average Score]]&gt;=60,1,0)</f>
        <v>1</v>
      </c>
      <c r="K572" t="str">
        <f>IF(tblStudents[[#This Row],[Average Score]]&gt;=60,"Pass","At Risk")</f>
        <v>Pass</v>
      </c>
      <c r="L572" t="str" cm="1">
        <f t="array" ref="L572">_xlfn.IFS(tblStudents[[#This Row],[Average Score]]&gt;=80,"High",tblStudents[[#This Row],[Average Score]]&gt;=60,"Meets Standard",TRUE,"At Risk")</f>
        <v>Meets Standard</v>
      </c>
      <c r="M5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73" spans="1:13" x14ac:dyDescent="0.25">
      <c r="A573" t="s">
        <v>9</v>
      </c>
      <c r="B573" t="s">
        <v>10</v>
      </c>
      <c r="C573" t="s">
        <v>2</v>
      </c>
      <c r="D573" t="s">
        <v>3</v>
      </c>
      <c r="E573" t="s">
        <v>4</v>
      </c>
      <c r="F573">
        <v>91</v>
      </c>
      <c r="G573">
        <v>96</v>
      </c>
      <c r="H573">
        <v>92</v>
      </c>
      <c r="I573" s="1">
        <f>AVERAGE(tblStudents[[#This Row],[Math Score]],tblStudents[[#This Row],[Reading Score]],tblStudents[[#This Row],[Writing Score]])</f>
        <v>93</v>
      </c>
      <c r="J573">
        <f>IF(tblStudents[[#This Row],[Average Score]]&gt;=60,1,0)</f>
        <v>1</v>
      </c>
      <c r="K573" t="str">
        <f>IF(tblStudents[[#This Row],[Average Score]]&gt;=60,"Pass","At Risk")</f>
        <v>Pass</v>
      </c>
      <c r="L573" t="str" cm="1">
        <f t="array" ref="L573">_xlfn.IFS(tblStudents[[#This Row],[Average Score]]&gt;=80,"High",tblStudents[[#This Row],[Average Score]]&gt;=60,"Meets Standard",TRUE,"At Risk")</f>
        <v>High</v>
      </c>
      <c r="M5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574" spans="1:13" x14ac:dyDescent="0.25">
      <c r="A574" t="s">
        <v>0</v>
      </c>
      <c r="B574" t="s">
        <v>5</v>
      </c>
      <c r="C574" t="s">
        <v>6</v>
      </c>
      <c r="D574" t="s">
        <v>3</v>
      </c>
      <c r="E574" t="s">
        <v>4</v>
      </c>
      <c r="F574">
        <v>53</v>
      </c>
      <c r="G574">
        <v>62</v>
      </c>
      <c r="H574">
        <v>56</v>
      </c>
      <c r="I574" s="1">
        <f>AVERAGE(tblStudents[[#This Row],[Math Score]],tblStudents[[#This Row],[Reading Score]],tblStudents[[#This Row],[Writing Score]])</f>
        <v>57</v>
      </c>
      <c r="J574">
        <f>IF(tblStudents[[#This Row],[Average Score]]&gt;=60,1,0)</f>
        <v>0</v>
      </c>
      <c r="K574" t="str">
        <f>IF(tblStudents[[#This Row],[Average Score]]&gt;=60,"Pass","At Risk")</f>
        <v>At Risk</v>
      </c>
      <c r="L574" t="str" cm="1">
        <f t="array" ref="L574">_xlfn.IFS(tblStudents[[#This Row],[Average Score]]&gt;=80,"High",tblStudents[[#This Row],[Average Score]]&gt;=60,"Meets Standard",TRUE,"At Risk")</f>
        <v>At Risk</v>
      </c>
      <c r="M5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575" spans="1:13" x14ac:dyDescent="0.25">
      <c r="A575" t="s">
        <v>0</v>
      </c>
      <c r="B575" t="s">
        <v>5</v>
      </c>
      <c r="C575" t="s">
        <v>14</v>
      </c>
      <c r="D575" t="s">
        <v>12</v>
      </c>
      <c r="E575" t="s">
        <v>7</v>
      </c>
      <c r="F575">
        <v>50</v>
      </c>
      <c r="G575">
        <v>66</v>
      </c>
      <c r="H575">
        <v>64</v>
      </c>
      <c r="I575" s="1">
        <f>AVERAGE(tblStudents[[#This Row],[Math Score]],tblStudents[[#This Row],[Reading Score]],tblStudents[[#This Row],[Writing Score]])</f>
        <v>60</v>
      </c>
      <c r="J575">
        <f>IF(tblStudents[[#This Row],[Average Score]]&gt;=60,1,0)</f>
        <v>1</v>
      </c>
      <c r="K575" t="str">
        <f>IF(tblStudents[[#This Row],[Average Score]]&gt;=60,"Pass","At Risk")</f>
        <v>Pass</v>
      </c>
      <c r="L575" t="str" cm="1">
        <f t="array" ref="L575">_xlfn.IFS(tblStudents[[#This Row],[Average Score]]&gt;=80,"High",tblStudents[[#This Row],[Average Score]]&gt;=60,"Meets Standard",TRUE,"At Risk")</f>
        <v>Meets Standard</v>
      </c>
      <c r="M5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576" spans="1:13" x14ac:dyDescent="0.25">
      <c r="A576" t="s">
        <v>0</v>
      </c>
      <c r="B576" t="s">
        <v>16</v>
      </c>
      <c r="C576" t="s">
        <v>14</v>
      </c>
      <c r="D576" t="s">
        <v>3</v>
      </c>
      <c r="E576" t="s">
        <v>4</v>
      </c>
      <c r="F576">
        <v>74</v>
      </c>
      <c r="G576">
        <v>81</v>
      </c>
      <c r="H576">
        <v>71</v>
      </c>
      <c r="I576" s="1">
        <f>AVERAGE(tblStudents[[#This Row],[Math Score]],tblStudents[[#This Row],[Reading Score]],tblStudents[[#This Row],[Writing Score]])</f>
        <v>75.333333333333329</v>
      </c>
      <c r="J576">
        <f>IF(tblStudents[[#This Row],[Average Score]]&gt;=60,1,0)</f>
        <v>1</v>
      </c>
      <c r="K576" t="str">
        <f>IF(tblStudents[[#This Row],[Average Score]]&gt;=60,"Pass","At Risk")</f>
        <v>Pass</v>
      </c>
      <c r="L576" t="str" cm="1">
        <f t="array" ref="L576">_xlfn.IFS(tblStudents[[#This Row],[Average Score]]&gt;=80,"High",tblStudents[[#This Row],[Average Score]]&gt;=60,"Meets Standard",TRUE,"At Risk")</f>
        <v>Meets Standard</v>
      </c>
      <c r="M5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77" spans="1:13" x14ac:dyDescent="0.25">
      <c r="A577" t="s">
        <v>9</v>
      </c>
      <c r="B577" t="s">
        <v>10</v>
      </c>
      <c r="C577" t="s">
        <v>11</v>
      </c>
      <c r="D577" t="s">
        <v>12</v>
      </c>
      <c r="E577" t="s">
        <v>7</v>
      </c>
      <c r="F577">
        <v>40</v>
      </c>
      <c r="G577">
        <v>55</v>
      </c>
      <c r="H577">
        <v>53</v>
      </c>
      <c r="I577" s="1">
        <f>AVERAGE(tblStudents[[#This Row],[Math Score]],tblStudents[[#This Row],[Reading Score]],tblStudents[[#This Row],[Writing Score]])</f>
        <v>49.333333333333336</v>
      </c>
      <c r="J577">
        <f>IF(tblStudents[[#This Row],[Average Score]]&gt;=60,1,0)</f>
        <v>0</v>
      </c>
      <c r="K577" t="str">
        <f>IF(tblStudents[[#This Row],[Average Score]]&gt;=60,"Pass","At Risk")</f>
        <v>At Risk</v>
      </c>
      <c r="L577" t="str" cm="1">
        <f t="array" ref="L577">_xlfn.IFS(tblStudents[[#This Row],[Average Score]]&gt;=80,"High",tblStudents[[#This Row],[Average Score]]&gt;=60,"Meets Standard",TRUE,"At Risk")</f>
        <v>At Risk</v>
      </c>
      <c r="M5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78" spans="1:13" x14ac:dyDescent="0.25">
      <c r="A578" t="s">
        <v>9</v>
      </c>
      <c r="B578" t="s">
        <v>10</v>
      </c>
      <c r="C578" t="s">
        <v>6</v>
      </c>
      <c r="D578" t="s">
        <v>3</v>
      </c>
      <c r="E578" t="s">
        <v>7</v>
      </c>
      <c r="F578">
        <v>61</v>
      </c>
      <c r="G578">
        <v>51</v>
      </c>
      <c r="H578">
        <v>52</v>
      </c>
      <c r="I578" s="1">
        <f>AVERAGE(tblStudents[[#This Row],[Math Score]],tblStudents[[#This Row],[Reading Score]],tblStudents[[#This Row],[Writing Score]])</f>
        <v>54.666666666666664</v>
      </c>
      <c r="J578">
        <f>IF(tblStudents[[#This Row],[Average Score]]&gt;=60,1,0)</f>
        <v>0</v>
      </c>
      <c r="K578" t="str">
        <f>IF(tblStudents[[#This Row],[Average Score]]&gt;=60,"Pass","At Risk")</f>
        <v>At Risk</v>
      </c>
      <c r="L578" t="str" cm="1">
        <f t="array" ref="L578">_xlfn.IFS(tblStudents[[#This Row],[Average Score]]&gt;=80,"High",tblStudents[[#This Row],[Average Score]]&gt;=60,"Meets Standard",TRUE,"At Risk")</f>
        <v>At Risk</v>
      </c>
      <c r="M5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79" spans="1:13" x14ac:dyDescent="0.25">
      <c r="A579" t="s">
        <v>0</v>
      </c>
      <c r="B579" t="s">
        <v>1</v>
      </c>
      <c r="C579" t="s">
        <v>14</v>
      </c>
      <c r="D579" t="s">
        <v>3</v>
      </c>
      <c r="E579" t="s">
        <v>4</v>
      </c>
      <c r="F579">
        <v>81</v>
      </c>
      <c r="G579">
        <v>91</v>
      </c>
      <c r="H579">
        <v>89</v>
      </c>
      <c r="I579" s="1">
        <f>AVERAGE(tblStudents[[#This Row],[Math Score]],tblStudents[[#This Row],[Reading Score]],tblStudents[[#This Row],[Writing Score]])</f>
        <v>87</v>
      </c>
      <c r="J579">
        <f>IF(tblStudents[[#This Row],[Average Score]]&gt;=60,1,0)</f>
        <v>1</v>
      </c>
      <c r="K579" t="str">
        <f>IF(tblStudents[[#This Row],[Average Score]]&gt;=60,"Pass","At Risk")</f>
        <v>Pass</v>
      </c>
      <c r="L579" t="str" cm="1">
        <f t="array" ref="L579">_xlfn.IFS(tblStudents[[#This Row],[Average Score]]&gt;=80,"High",tblStudents[[#This Row],[Average Score]]&gt;=60,"Meets Standard",TRUE,"At Risk")</f>
        <v>High</v>
      </c>
      <c r="M5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80" spans="1:13" x14ac:dyDescent="0.25">
      <c r="A580" t="s">
        <v>0</v>
      </c>
      <c r="B580" t="s">
        <v>1</v>
      </c>
      <c r="C580" t="s">
        <v>6</v>
      </c>
      <c r="D580" t="s">
        <v>12</v>
      </c>
      <c r="E580" t="s">
        <v>7</v>
      </c>
      <c r="F580">
        <v>48</v>
      </c>
      <c r="G580">
        <v>56</v>
      </c>
      <c r="H580">
        <v>58</v>
      </c>
      <c r="I580" s="1">
        <f>AVERAGE(tblStudents[[#This Row],[Math Score]],tblStudents[[#This Row],[Reading Score]],tblStudents[[#This Row],[Writing Score]])</f>
        <v>54</v>
      </c>
      <c r="J580">
        <f>IF(tblStudents[[#This Row],[Average Score]]&gt;=60,1,0)</f>
        <v>0</v>
      </c>
      <c r="K580" t="str">
        <f>IF(tblStudents[[#This Row],[Average Score]]&gt;=60,"Pass","At Risk")</f>
        <v>At Risk</v>
      </c>
      <c r="L580" t="str" cm="1">
        <f t="array" ref="L580">_xlfn.IFS(tblStudents[[#This Row],[Average Score]]&gt;=80,"High",tblStudents[[#This Row],[Average Score]]&gt;=60,"Meets Standard",TRUE,"At Risk")</f>
        <v>At Risk</v>
      </c>
      <c r="M5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581" spans="1:13" x14ac:dyDescent="0.25">
      <c r="A581" t="s">
        <v>0</v>
      </c>
      <c r="B581" t="s">
        <v>13</v>
      </c>
      <c r="C581" t="s">
        <v>8</v>
      </c>
      <c r="D581" t="s">
        <v>3</v>
      </c>
      <c r="E581" t="s">
        <v>4</v>
      </c>
      <c r="F581">
        <v>53</v>
      </c>
      <c r="G581">
        <v>61</v>
      </c>
      <c r="H581">
        <v>68</v>
      </c>
      <c r="I581" s="1">
        <f>AVERAGE(tblStudents[[#This Row],[Math Score]],tblStudents[[#This Row],[Reading Score]],tblStudents[[#This Row],[Writing Score]])</f>
        <v>60.666666666666664</v>
      </c>
      <c r="J581">
        <f>IF(tblStudents[[#This Row],[Average Score]]&gt;=60,1,0)</f>
        <v>1</v>
      </c>
      <c r="K581" t="str">
        <f>IF(tblStudents[[#This Row],[Average Score]]&gt;=60,"Pass","At Risk")</f>
        <v>Pass</v>
      </c>
      <c r="L581" t="str" cm="1">
        <f t="array" ref="L581">_xlfn.IFS(tblStudents[[#This Row],[Average Score]]&gt;=80,"High",tblStudents[[#This Row],[Average Score]]&gt;=60,"Meets Standard",TRUE,"At Risk")</f>
        <v>Meets Standard</v>
      </c>
      <c r="M5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82" spans="1:13" x14ac:dyDescent="0.25">
      <c r="A582" t="s">
        <v>0</v>
      </c>
      <c r="B582" t="s">
        <v>13</v>
      </c>
      <c r="C582" t="s">
        <v>15</v>
      </c>
      <c r="D582" t="s">
        <v>3</v>
      </c>
      <c r="E582" t="s">
        <v>4</v>
      </c>
      <c r="F582">
        <v>81</v>
      </c>
      <c r="G582">
        <v>97</v>
      </c>
      <c r="H582">
        <v>96</v>
      </c>
      <c r="I582" s="1">
        <f>AVERAGE(tblStudents[[#This Row],[Math Score]],tblStudents[[#This Row],[Reading Score]],tblStudents[[#This Row],[Writing Score]])</f>
        <v>91.333333333333329</v>
      </c>
      <c r="J582">
        <f>IF(tblStudents[[#This Row],[Average Score]]&gt;=60,1,0)</f>
        <v>1</v>
      </c>
      <c r="K582" t="str">
        <f>IF(tblStudents[[#This Row],[Average Score]]&gt;=60,"Pass","At Risk")</f>
        <v>Pass</v>
      </c>
      <c r="L582" t="str" cm="1">
        <f t="array" ref="L582">_xlfn.IFS(tblStudents[[#This Row],[Average Score]]&gt;=80,"High",tblStudents[[#This Row],[Average Score]]&gt;=60,"Meets Standard",TRUE,"At Risk")</f>
        <v>High</v>
      </c>
      <c r="M5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583" spans="1:13" x14ac:dyDescent="0.25">
      <c r="A583" t="s">
        <v>0</v>
      </c>
      <c r="B583" t="s">
        <v>16</v>
      </c>
      <c r="C583" t="s">
        <v>15</v>
      </c>
      <c r="D583" t="s">
        <v>3</v>
      </c>
      <c r="E583" t="s">
        <v>4</v>
      </c>
      <c r="F583">
        <v>77</v>
      </c>
      <c r="G583">
        <v>79</v>
      </c>
      <c r="H583">
        <v>80</v>
      </c>
      <c r="I583" s="1">
        <f>AVERAGE(tblStudents[[#This Row],[Math Score]],tblStudents[[#This Row],[Reading Score]],tblStudents[[#This Row],[Writing Score]])</f>
        <v>78.666666666666671</v>
      </c>
      <c r="J583">
        <f>IF(tblStudents[[#This Row],[Average Score]]&gt;=60,1,0)</f>
        <v>1</v>
      </c>
      <c r="K583" t="str">
        <f>IF(tblStudents[[#This Row],[Average Score]]&gt;=60,"Pass","At Risk")</f>
        <v>Pass</v>
      </c>
      <c r="L583" t="str" cm="1">
        <f t="array" ref="L583">_xlfn.IFS(tblStudents[[#This Row],[Average Score]]&gt;=80,"High",tblStudents[[#This Row],[Average Score]]&gt;=60,"Meets Standard",TRUE,"At Risk")</f>
        <v>Meets Standard</v>
      </c>
      <c r="M5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584" spans="1:13" x14ac:dyDescent="0.25">
      <c r="A584" t="s">
        <v>0</v>
      </c>
      <c r="B584" t="s">
        <v>13</v>
      </c>
      <c r="C584" t="s">
        <v>2</v>
      </c>
      <c r="D584" t="s">
        <v>12</v>
      </c>
      <c r="E584" t="s">
        <v>4</v>
      </c>
      <c r="F584">
        <v>63</v>
      </c>
      <c r="G584">
        <v>73</v>
      </c>
      <c r="H584">
        <v>78</v>
      </c>
      <c r="I584" s="1">
        <f>AVERAGE(tblStudents[[#This Row],[Math Score]],tblStudents[[#This Row],[Reading Score]],tblStudents[[#This Row],[Writing Score]])</f>
        <v>71.333333333333329</v>
      </c>
      <c r="J584">
        <f>IF(tblStudents[[#This Row],[Average Score]]&gt;=60,1,0)</f>
        <v>1</v>
      </c>
      <c r="K584" t="str">
        <f>IF(tblStudents[[#This Row],[Average Score]]&gt;=60,"Pass","At Risk")</f>
        <v>Pass</v>
      </c>
      <c r="L584" t="str" cm="1">
        <f t="array" ref="L584">_xlfn.IFS(tblStudents[[#This Row],[Average Score]]&gt;=80,"High",tblStudents[[#This Row],[Average Score]]&gt;=60,"Meets Standard",TRUE,"At Risk")</f>
        <v>Meets Standard</v>
      </c>
      <c r="M5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85" spans="1:13" x14ac:dyDescent="0.25">
      <c r="A585" t="s">
        <v>0</v>
      </c>
      <c r="B585" t="s">
        <v>13</v>
      </c>
      <c r="C585" t="s">
        <v>11</v>
      </c>
      <c r="D585" t="s">
        <v>3</v>
      </c>
      <c r="E585" t="s">
        <v>7</v>
      </c>
      <c r="F585">
        <v>73</v>
      </c>
      <c r="G585">
        <v>75</v>
      </c>
      <c r="H585">
        <v>80</v>
      </c>
      <c r="I585" s="1">
        <f>AVERAGE(tblStudents[[#This Row],[Math Score]],tblStudents[[#This Row],[Reading Score]],tblStudents[[#This Row],[Writing Score]])</f>
        <v>76</v>
      </c>
      <c r="J585">
        <f>IF(tblStudents[[#This Row],[Average Score]]&gt;=60,1,0)</f>
        <v>1</v>
      </c>
      <c r="K585" t="str">
        <f>IF(tblStudents[[#This Row],[Average Score]]&gt;=60,"Pass","At Risk")</f>
        <v>Pass</v>
      </c>
      <c r="L585" t="str" cm="1">
        <f t="array" ref="L585">_xlfn.IFS(tblStudents[[#This Row],[Average Score]]&gt;=80,"High",tblStudents[[#This Row],[Average Score]]&gt;=60,"Meets Standard",TRUE,"At Risk")</f>
        <v>Meets Standard</v>
      </c>
      <c r="M5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586" spans="1:13" x14ac:dyDescent="0.25">
      <c r="A586" t="s">
        <v>0</v>
      </c>
      <c r="B586" t="s">
        <v>13</v>
      </c>
      <c r="C586" t="s">
        <v>6</v>
      </c>
      <c r="D586" t="s">
        <v>3</v>
      </c>
      <c r="E586" t="s">
        <v>4</v>
      </c>
      <c r="F586">
        <v>69</v>
      </c>
      <c r="G586">
        <v>77</v>
      </c>
      <c r="H586">
        <v>77</v>
      </c>
      <c r="I586" s="1">
        <f>AVERAGE(tblStudents[[#This Row],[Math Score]],tblStudents[[#This Row],[Reading Score]],tblStudents[[#This Row],[Writing Score]])</f>
        <v>74.333333333333329</v>
      </c>
      <c r="J586">
        <f>IF(tblStudents[[#This Row],[Average Score]]&gt;=60,1,0)</f>
        <v>1</v>
      </c>
      <c r="K586" t="str">
        <f>IF(tblStudents[[#This Row],[Average Score]]&gt;=60,"Pass","At Risk")</f>
        <v>Pass</v>
      </c>
      <c r="L586" t="str" cm="1">
        <f t="array" ref="L586">_xlfn.IFS(tblStudents[[#This Row],[Average Score]]&gt;=80,"High",tblStudents[[#This Row],[Average Score]]&gt;=60,"Meets Standard",TRUE,"At Risk")</f>
        <v>Meets Standard</v>
      </c>
      <c r="M5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87" spans="1:13" x14ac:dyDescent="0.25">
      <c r="A587" t="s">
        <v>0</v>
      </c>
      <c r="B587" t="s">
        <v>5</v>
      </c>
      <c r="C587" t="s">
        <v>11</v>
      </c>
      <c r="D587" t="s">
        <v>3</v>
      </c>
      <c r="E587" t="s">
        <v>4</v>
      </c>
      <c r="F587">
        <v>65</v>
      </c>
      <c r="G587">
        <v>76</v>
      </c>
      <c r="H587">
        <v>76</v>
      </c>
      <c r="I587" s="1">
        <f>AVERAGE(tblStudents[[#This Row],[Math Score]],tblStudents[[#This Row],[Reading Score]],tblStudents[[#This Row],[Writing Score]])</f>
        <v>72.333333333333329</v>
      </c>
      <c r="J587">
        <f>IF(tblStudents[[#This Row],[Average Score]]&gt;=60,1,0)</f>
        <v>1</v>
      </c>
      <c r="K587" t="str">
        <f>IF(tblStudents[[#This Row],[Average Score]]&gt;=60,"Pass","At Risk")</f>
        <v>Pass</v>
      </c>
      <c r="L587" t="str" cm="1">
        <f t="array" ref="L587">_xlfn.IFS(tblStudents[[#This Row],[Average Score]]&gt;=80,"High",tblStudents[[#This Row],[Average Score]]&gt;=60,"Meets Standard",TRUE,"At Risk")</f>
        <v>Meets Standard</v>
      </c>
      <c r="M5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88" spans="1:13" x14ac:dyDescent="0.25">
      <c r="A588" t="s">
        <v>0</v>
      </c>
      <c r="B588" t="s">
        <v>10</v>
      </c>
      <c r="C588" t="s">
        <v>14</v>
      </c>
      <c r="D588" t="s">
        <v>3</v>
      </c>
      <c r="E588" t="s">
        <v>4</v>
      </c>
      <c r="F588">
        <v>55</v>
      </c>
      <c r="G588">
        <v>73</v>
      </c>
      <c r="H588">
        <v>73</v>
      </c>
      <c r="I588" s="1">
        <f>AVERAGE(tblStudents[[#This Row],[Math Score]],tblStudents[[#This Row],[Reading Score]],tblStudents[[#This Row],[Writing Score]])</f>
        <v>67</v>
      </c>
      <c r="J588">
        <f>IF(tblStudents[[#This Row],[Average Score]]&gt;=60,1,0)</f>
        <v>1</v>
      </c>
      <c r="K588" t="str">
        <f>IF(tblStudents[[#This Row],[Average Score]]&gt;=60,"Pass","At Risk")</f>
        <v>Pass</v>
      </c>
      <c r="L588" t="str" cm="1">
        <f t="array" ref="L588">_xlfn.IFS(tblStudents[[#This Row],[Average Score]]&gt;=80,"High",tblStudents[[#This Row],[Average Score]]&gt;=60,"Meets Standard",TRUE,"At Risk")</f>
        <v>Meets Standard</v>
      </c>
      <c r="M5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589" spans="1:13" x14ac:dyDescent="0.25">
      <c r="A589" t="s">
        <v>0</v>
      </c>
      <c r="B589" t="s">
        <v>5</v>
      </c>
      <c r="C589" t="s">
        <v>2</v>
      </c>
      <c r="D589" t="s">
        <v>12</v>
      </c>
      <c r="E589" t="s">
        <v>4</v>
      </c>
      <c r="F589">
        <v>44</v>
      </c>
      <c r="G589">
        <v>63</v>
      </c>
      <c r="H589">
        <v>62</v>
      </c>
      <c r="I589" s="1">
        <f>AVERAGE(tblStudents[[#This Row],[Math Score]],tblStudents[[#This Row],[Reading Score]],tblStudents[[#This Row],[Writing Score]])</f>
        <v>56.333333333333336</v>
      </c>
      <c r="J589">
        <f>IF(tblStudents[[#This Row],[Average Score]]&gt;=60,1,0)</f>
        <v>0</v>
      </c>
      <c r="K589" t="str">
        <f>IF(tblStudents[[#This Row],[Average Score]]&gt;=60,"Pass","At Risk")</f>
        <v>At Risk</v>
      </c>
      <c r="L589" t="str" cm="1">
        <f t="array" ref="L589">_xlfn.IFS(tblStudents[[#This Row],[Average Score]]&gt;=80,"High",tblStudents[[#This Row],[Average Score]]&gt;=60,"Meets Standard",TRUE,"At Risk")</f>
        <v>At Risk</v>
      </c>
      <c r="M5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590" spans="1:13" x14ac:dyDescent="0.25">
      <c r="A590" t="s">
        <v>0</v>
      </c>
      <c r="B590" t="s">
        <v>5</v>
      </c>
      <c r="C590" t="s">
        <v>6</v>
      </c>
      <c r="D590" t="s">
        <v>3</v>
      </c>
      <c r="E590" t="s">
        <v>4</v>
      </c>
      <c r="F590">
        <v>54</v>
      </c>
      <c r="G590">
        <v>64</v>
      </c>
      <c r="H590">
        <v>65</v>
      </c>
      <c r="I590" s="1">
        <f>AVERAGE(tblStudents[[#This Row],[Math Score]],tblStudents[[#This Row],[Reading Score]],tblStudents[[#This Row],[Writing Score]])</f>
        <v>61</v>
      </c>
      <c r="J590">
        <f>IF(tblStudents[[#This Row],[Average Score]]&gt;=60,1,0)</f>
        <v>1</v>
      </c>
      <c r="K590" t="str">
        <f>IF(tblStudents[[#This Row],[Average Score]]&gt;=60,"Pass","At Risk")</f>
        <v>Pass</v>
      </c>
      <c r="L590" t="str" cm="1">
        <f t="array" ref="L590">_xlfn.IFS(tblStudents[[#This Row],[Average Score]]&gt;=80,"High",tblStudents[[#This Row],[Average Score]]&gt;=60,"Meets Standard",TRUE,"At Risk")</f>
        <v>Meets Standard</v>
      </c>
      <c r="M5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591" spans="1:13" x14ac:dyDescent="0.25">
      <c r="A591" t="s">
        <v>0</v>
      </c>
      <c r="B591" t="s">
        <v>10</v>
      </c>
      <c r="C591" t="s">
        <v>15</v>
      </c>
      <c r="D591" t="s">
        <v>3</v>
      </c>
      <c r="E591" t="s">
        <v>4</v>
      </c>
      <c r="F591">
        <v>48</v>
      </c>
      <c r="G591">
        <v>66</v>
      </c>
      <c r="H591">
        <v>65</v>
      </c>
      <c r="I591" s="1">
        <f>AVERAGE(tblStudents[[#This Row],[Math Score]],tblStudents[[#This Row],[Reading Score]],tblStudents[[#This Row],[Writing Score]])</f>
        <v>59.666666666666664</v>
      </c>
      <c r="J591">
        <f>IF(tblStudents[[#This Row],[Average Score]]&gt;=60,1,0)</f>
        <v>0</v>
      </c>
      <c r="K591" t="str">
        <f>IF(tblStudents[[#This Row],[Average Score]]&gt;=60,"Pass","At Risk")</f>
        <v>At Risk</v>
      </c>
      <c r="L591" t="str" cm="1">
        <f t="array" ref="L591">_xlfn.IFS(tblStudents[[#This Row],[Average Score]]&gt;=80,"High",tblStudents[[#This Row],[Average Score]]&gt;=60,"Meets Standard",TRUE,"At Risk")</f>
        <v>At Risk</v>
      </c>
      <c r="M5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592" spans="1:13" x14ac:dyDescent="0.25">
      <c r="A592" t="s">
        <v>9</v>
      </c>
      <c r="B592" t="s">
        <v>5</v>
      </c>
      <c r="C592" t="s">
        <v>6</v>
      </c>
      <c r="D592" t="s">
        <v>12</v>
      </c>
      <c r="E592" t="s">
        <v>4</v>
      </c>
      <c r="F592">
        <v>58</v>
      </c>
      <c r="G592">
        <v>57</v>
      </c>
      <c r="H592">
        <v>54</v>
      </c>
      <c r="I592" s="1">
        <f>AVERAGE(tblStudents[[#This Row],[Math Score]],tblStudents[[#This Row],[Reading Score]],tblStudents[[#This Row],[Writing Score]])</f>
        <v>56.333333333333336</v>
      </c>
      <c r="J592">
        <f>IF(tblStudents[[#This Row],[Average Score]]&gt;=60,1,0)</f>
        <v>0</v>
      </c>
      <c r="K592" t="str">
        <f>IF(tblStudents[[#This Row],[Average Score]]&gt;=60,"Pass","At Risk")</f>
        <v>At Risk</v>
      </c>
      <c r="L592" t="str" cm="1">
        <f t="array" ref="L592">_xlfn.IFS(tblStudents[[#This Row],[Average Score]]&gt;=80,"High",tblStudents[[#This Row],[Average Score]]&gt;=60,"Meets Standard",TRUE,"At Risk")</f>
        <v>At Risk</v>
      </c>
      <c r="M5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93" spans="1:13" x14ac:dyDescent="0.25">
      <c r="A593" t="s">
        <v>9</v>
      </c>
      <c r="B593" t="s">
        <v>10</v>
      </c>
      <c r="C593" t="s">
        <v>15</v>
      </c>
      <c r="D593" t="s">
        <v>3</v>
      </c>
      <c r="E593" t="s">
        <v>4</v>
      </c>
      <c r="F593">
        <v>71</v>
      </c>
      <c r="G593">
        <v>62</v>
      </c>
      <c r="H593">
        <v>50</v>
      </c>
      <c r="I593" s="1">
        <f>AVERAGE(tblStudents[[#This Row],[Math Score]],tblStudents[[#This Row],[Reading Score]],tblStudents[[#This Row],[Writing Score]])</f>
        <v>61</v>
      </c>
      <c r="J593">
        <f>IF(tblStudents[[#This Row],[Average Score]]&gt;=60,1,0)</f>
        <v>1</v>
      </c>
      <c r="K593" t="str">
        <f>IF(tblStudents[[#This Row],[Average Score]]&gt;=60,"Pass","At Risk")</f>
        <v>Pass</v>
      </c>
      <c r="L593" t="str" cm="1">
        <f t="array" ref="L593">_xlfn.IFS(tblStudents[[#This Row],[Average Score]]&gt;=80,"High",tblStudents[[#This Row],[Average Score]]&gt;=60,"Meets Standard",TRUE,"At Risk")</f>
        <v>Meets Standard</v>
      </c>
      <c r="M5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594" spans="1:13" x14ac:dyDescent="0.25">
      <c r="A594" t="s">
        <v>9</v>
      </c>
      <c r="B594" t="s">
        <v>16</v>
      </c>
      <c r="C594" t="s">
        <v>2</v>
      </c>
      <c r="D594" t="s">
        <v>3</v>
      </c>
      <c r="E594" t="s">
        <v>4</v>
      </c>
      <c r="F594">
        <v>68</v>
      </c>
      <c r="G594">
        <v>68</v>
      </c>
      <c r="H594">
        <v>64</v>
      </c>
      <c r="I594" s="1">
        <f>AVERAGE(tblStudents[[#This Row],[Math Score]],tblStudents[[#This Row],[Reading Score]],tblStudents[[#This Row],[Writing Score]])</f>
        <v>66.666666666666671</v>
      </c>
      <c r="J594">
        <f>IF(tblStudents[[#This Row],[Average Score]]&gt;=60,1,0)</f>
        <v>1</v>
      </c>
      <c r="K594" t="str">
        <f>IF(tblStudents[[#This Row],[Average Score]]&gt;=60,"Pass","At Risk")</f>
        <v>Pass</v>
      </c>
      <c r="L594" t="str" cm="1">
        <f t="array" ref="L594">_xlfn.IFS(tblStudents[[#This Row],[Average Score]]&gt;=80,"High",tblStudents[[#This Row],[Average Score]]&gt;=60,"Meets Standard",TRUE,"At Risk")</f>
        <v>Meets Standard</v>
      </c>
      <c r="M5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595" spans="1:13" x14ac:dyDescent="0.25">
      <c r="A595" t="s">
        <v>0</v>
      </c>
      <c r="B595" t="s">
        <v>16</v>
      </c>
      <c r="C595" t="s">
        <v>14</v>
      </c>
      <c r="D595" t="s">
        <v>3</v>
      </c>
      <c r="E595" t="s">
        <v>4</v>
      </c>
      <c r="F595">
        <v>74</v>
      </c>
      <c r="G595">
        <v>76</v>
      </c>
      <c r="H595">
        <v>73</v>
      </c>
      <c r="I595" s="1">
        <f>AVERAGE(tblStudents[[#This Row],[Math Score]],tblStudents[[#This Row],[Reading Score]],tblStudents[[#This Row],[Writing Score]])</f>
        <v>74.333333333333329</v>
      </c>
      <c r="J595">
        <f>IF(tblStudents[[#This Row],[Average Score]]&gt;=60,1,0)</f>
        <v>1</v>
      </c>
      <c r="K595" t="str">
        <f>IF(tblStudents[[#This Row],[Average Score]]&gt;=60,"Pass","At Risk")</f>
        <v>Pass</v>
      </c>
      <c r="L595" t="str" cm="1">
        <f t="array" ref="L595">_xlfn.IFS(tblStudents[[#This Row],[Average Score]]&gt;=80,"High",tblStudents[[#This Row],[Average Score]]&gt;=60,"Meets Standard",TRUE,"At Risk")</f>
        <v>Meets Standard</v>
      </c>
      <c r="M5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596" spans="1:13" x14ac:dyDescent="0.25">
      <c r="A596" t="s">
        <v>0</v>
      </c>
      <c r="B596" t="s">
        <v>5</v>
      </c>
      <c r="C596" t="s">
        <v>2</v>
      </c>
      <c r="D596" t="s">
        <v>3</v>
      </c>
      <c r="E596" t="s">
        <v>7</v>
      </c>
      <c r="F596">
        <v>92</v>
      </c>
      <c r="G596">
        <v>100</v>
      </c>
      <c r="H596">
        <v>99</v>
      </c>
      <c r="I596" s="1">
        <f>AVERAGE(tblStudents[[#This Row],[Math Score]],tblStudents[[#This Row],[Reading Score]],tblStudents[[#This Row],[Writing Score]])</f>
        <v>97</v>
      </c>
      <c r="J596">
        <f>IF(tblStudents[[#This Row],[Average Score]]&gt;=60,1,0)</f>
        <v>1</v>
      </c>
      <c r="K596" t="str">
        <f>IF(tblStudents[[#This Row],[Average Score]]&gt;=60,"Pass","At Risk")</f>
        <v>Pass</v>
      </c>
      <c r="L596" t="str" cm="1">
        <f t="array" ref="L596">_xlfn.IFS(tblStudents[[#This Row],[Average Score]]&gt;=80,"High",tblStudents[[#This Row],[Average Score]]&gt;=60,"Meets Standard",TRUE,"At Risk")</f>
        <v>High</v>
      </c>
      <c r="M5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597" spans="1:13" x14ac:dyDescent="0.25">
      <c r="A597" t="s">
        <v>0</v>
      </c>
      <c r="B597" t="s">
        <v>5</v>
      </c>
      <c r="C597" t="s">
        <v>2</v>
      </c>
      <c r="D597" t="s">
        <v>3</v>
      </c>
      <c r="E597" t="s">
        <v>7</v>
      </c>
      <c r="F597">
        <v>56</v>
      </c>
      <c r="G597">
        <v>79</v>
      </c>
      <c r="H597">
        <v>72</v>
      </c>
      <c r="I597" s="1">
        <f>AVERAGE(tblStudents[[#This Row],[Math Score]],tblStudents[[#This Row],[Reading Score]],tblStudents[[#This Row],[Writing Score]])</f>
        <v>69</v>
      </c>
      <c r="J597">
        <f>IF(tblStudents[[#This Row],[Average Score]]&gt;=60,1,0)</f>
        <v>1</v>
      </c>
      <c r="K597" t="str">
        <f>IF(tblStudents[[#This Row],[Average Score]]&gt;=60,"Pass","At Risk")</f>
        <v>Pass</v>
      </c>
      <c r="L597" t="str" cm="1">
        <f t="array" ref="L597">_xlfn.IFS(tblStudents[[#This Row],[Average Score]]&gt;=80,"High",tblStudents[[#This Row],[Average Score]]&gt;=60,"Meets Standard",TRUE,"At Risk")</f>
        <v>Meets Standard</v>
      </c>
      <c r="M5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23</v>
      </c>
    </row>
    <row r="598" spans="1:13" x14ac:dyDescent="0.25">
      <c r="A598" t="s">
        <v>9</v>
      </c>
      <c r="B598" t="s">
        <v>1</v>
      </c>
      <c r="C598" t="s">
        <v>14</v>
      </c>
      <c r="D598" t="s">
        <v>12</v>
      </c>
      <c r="E598" t="s">
        <v>4</v>
      </c>
      <c r="F598">
        <v>30</v>
      </c>
      <c r="G598">
        <v>24</v>
      </c>
      <c r="H598">
        <v>15</v>
      </c>
      <c r="I598" s="1">
        <f>AVERAGE(tblStudents[[#This Row],[Math Score]],tblStudents[[#This Row],[Reading Score]],tblStudents[[#This Row],[Writing Score]])</f>
        <v>23</v>
      </c>
      <c r="J598">
        <f>IF(tblStudents[[#This Row],[Average Score]]&gt;=60,1,0)</f>
        <v>0</v>
      </c>
      <c r="K598" t="str">
        <f>IF(tblStudents[[#This Row],[Average Score]]&gt;=60,"Pass","At Risk")</f>
        <v>At Risk</v>
      </c>
      <c r="L598" t="str" cm="1">
        <f t="array" ref="L598">_xlfn.IFS(tblStudents[[#This Row],[Average Score]]&gt;=80,"High",tblStudents[[#This Row],[Average Score]]&gt;=60,"Meets Standard",TRUE,"At Risk")</f>
        <v>At Risk</v>
      </c>
      <c r="M5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599" spans="1:13" x14ac:dyDescent="0.25">
      <c r="A599" t="s">
        <v>9</v>
      </c>
      <c r="B599" t="s">
        <v>10</v>
      </c>
      <c r="C599" t="s">
        <v>15</v>
      </c>
      <c r="D599" t="s">
        <v>3</v>
      </c>
      <c r="E599" t="s">
        <v>4</v>
      </c>
      <c r="F599">
        <v>53</v>
      </c>
      <c r="G599">
        <v>54</v>
      </c>
      <c r="H599">
        <v>48</v>
      </c>
      <c r="I599" s="1">
        <f>AVERAGE(tblStudents[[#This Row],[Math Score]],tblStudents[[#This Row],[Reading Score]],tblStudents[[#This Row],[Writing Score]])</f>
        <v>51.666666666666664</v>
      </c>
      <c r="J599">
        <f>IF(tblStudents[[#This Row],[Average Score]]&gt;=60,1,0)</f>
        <v>0</v>
      </c>
      <c r="K599" t="str">
        <f>IF(tblStudents[[#This Row],[Average Score]]&gt;=60,"Pass","At Risk")</f>
        <v>At Risk</v>
      </c>
      <c r="L599" t="str" cm="1">
        <f t="array" ref="L599">_xlfn.IFS(tblStudents[[#This Row],[Average Score]]&gt;=80,"High",tblStudents[[#This Row],[Average Score]]&gt;=60,"Meets Standard",TRUE,"At Risk")</f>
        <v>At Risk</v>
      </c>
      <c r="M5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00" spans="1:13" x14ac:dyDescent="0.25">
      <c r="A600" t="s">
        <v>0</v>
      </c>
      <c r="B600" t="s">
        <v>13</v>
      </c>
      <c r="C600" t="s">
        <v>14</v>
      </c>
      <c r="D600" t="s">
        <v>3</v>
      </c>
      <c r="E600" t="s">
        <v>4</v>
      </c>
      <c r="F600">
        <v>69</v>
      </c>
      <c r="G600">
        <v>77</v>
      </c>
      <c r="H600">
        <v>73</v>
      </c>
      <c r="I600" s="1">
        <f>AVERAGE(tblStudents[[#This Row],[Math Score]],tblStudents[[#This Row],[Reading Score]],tblStudents[[#This Row],[Writing Score]])</f>
        <v>73</v>
      </c>
      <c r="J600">
        <f>IF(tblStudents[[#This Row],[Average Score]]&gt;=60,1,0)</f>
        <v>1</v>
      </c>
      <c r="K600" t="str">
        <f>IF(tblStudents[[#This Row],[Average Score]]&gt;=60,"Pass","At Risk")</f>
        <v>Pass</v>
      </c>
      <c r="L600" t="str" cm="1">
        <f t="array" ref="L600">_xlfn.IFS(tblStudents[[#This Row],[Average Score]]&gt;=80,"High",tblStudents[[#This Row],[Average Score]]&gt;=60,"Meets Standard",TRUE,"At Risk")</f>
        <v>Meets Standard</v>
      </c>
      <c r="M6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01" spans="1:13" x14ac:dyDescent="0.25">
      <c r="A601" t="s">
        <v>0</v>
      </c>
      <c r="B601" t="s">
        <v>13</v>
      </c>
      <c r="C601" t="s">
        <v>15</v>
      </c>
      <c r="D601" t="s">
        <v>3</v>
      </c>
      <c r="E601" t="s">
        <v>4</v>
      </c>
      <c r="F601">
        <v>65</v>
      </c>
      <c r="G601">
        <v>82</v>
      </c>
      <c r="H601">
        <v>81</v>
      </c>
      <c r="I601" s="1">
        <f>AVERAGE(tblStudents[[#This Row],[Math Score]],tblStudents[[#This Row],[Reading Score]],tblStudents[[#This Row],[Writing Score]])</f>
        <v>76</v>
      </c>
      <c r="J601">
        <f>IF(tblStudents[[#This Row],[Average Score]]&gt;=60,1,0)</f>
        <v>1</v>
      </c>
      <c r="K601" t="str">
        <f>IF(tblStudents[[#This Row],[Average Score]]&gt;=60,"Pass","At Risk")</f>
        <v>Pass</v>
      </c>
      <c r="L601" t="str" cm="1">
        <f t="array" ref="L601">_xlfn.IFS(tblStudents[[#This Row],[Average Score]]&gt;=80,"High",tblStudents[[#This Row],[Average Score]]&gt;=60,"Meets Standard",TRUE,"At Risk")</f>
        <v>Meets Standard</v>
      </c>
      <c r="M6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602" spans="1:13" x14ac:dyDescent="0.25">
      <c r="A602" t="s">
        <v>0</v>
      </c>
      <c r="B602" t="s">
        <v>13</v>
      </c>
      <c r="C602" t="s">
        <v>8</v>
      </c>
      <c r="D602" t="s">
        <v>3</v>
      </c>
      <c r="E602" t="s">
        <v>4</v>
      </c>
      <c r="F602">
        <v>54</v>
      </c>
      <c r="G602">
        <v>60</v>
      </c>
      <c r="H602">
        <v>63</v>
      </c>
      <c r="I602" s="1">
        <f>AVERAGE(tblStudents[[#This Row],[Math Score]],tblStudents[[#This Row],[Reading Score]],tblStudents[[#This Row],[Writing Score]])</f>
        <v>59</v>
      </c>
      <c r="J602">
        <f>IF(tblStudents[[#This Row],[Average Score]]&gt;=60,1,0)</f>
        <v>0</v>
      </c>
      <c r="K602" t="str">
        <f>IF(tblStudents[[#This Row],[Average Score]]&gt;=60,"Pass","At Risk")</f>
        <v>At Risk</v>
      </c>
      <c r="L602" t="str" cm="1">
        <f t="array" ref="L602">_xlfn.IFS(tblStudents[[#This Row],[Average Score]]&gt;=80,"High",tblStudents[[#This Row],[Average Score]]&gt;=60,"Meets Standard",TRUE,"At Risk")</f>
        <v>At Risk</v>
      </c>
      <c r="M6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03" spans="1:13" x14ac:dyDescent="0.25">
      <c r="A603" t="s">
        <v>0</v>
      </c>
      <c r="B603" t="s">
        <v>5</v>
      </c>
      <c r="C603" t="s">
        <v>14</v>
      </c>
      <c r="D603" t="s">
        <v>3</v>
      </c>
      <c r="E603" t="s">
        <v>4</v>
      </c>
      <c r="F603">
        <v>29</v>
      </c>
      <c r="G603">
        <v>29</v>
      </c>
      <c r="H603">
        <v>30</v>
      </c>
      <c r="I603" s="1">
        <f>AVERAGE(tblStudents[[#This Row],[Math Score]],tblStudents[[#This Row],[Reading Score]],tblStudents[[#This Row],[Writing Score]])</f>
        <v>29.333333333333332</v>
      </c>
      <c r="J603">
        <f>IF(tblStudents[[#This Row],[Average Score]]&gt;=60,1,0)</f>
        <v>0</v>
      </c>
      <c r="K603" t="str">
        <f>IF(tblStudents[[#This Row],[Average Score]]&gt;=60,"Pass","At Risk")</f>
        <v>At Risk</v>
      </c>
      <c r="L603" t="str" cm="1">
        <f t="array" ref="L603">_xlfn.IFS(tblStudents[[#This Row],[Average Score]]&gt;=80,"High",tblStudents[[#This Row],[Average Score]]&gt;=60,"Meets Standard",TRUE,"At Risk")</f>
        <v>At Risk</v>
      </c>
      <c r="M6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604" spans="1:13" x14ac:dyDescent="0.25">
      <c r="A604" t="s">
        <v>0</v>
      </c>
      <c r="B604" t="s">
        <v>16</v>
      </c>
      <c r="C604" t="s">
        <v>6</v>
      </c>
      <c r="D604" t="s">
        <v>3</v>
      </c>
      <c r="E604" t="s">
        <v>4</v>
      </c>
      <c r="F604">
        <v>76</v>
      </c>
      <c r="G604">
        <v>78</v>
      </c>
      <c r="H604">
        <v>80</v>
      </c>
      <c r="I604" s="1">
        <f>AVERAGE(tblStudents[[#This Row],[Math Score]],tblStudents[[#This Row],[Reading Score]],tblStudents[[#This Row],[Writing Score]])</f>
        <v>78</v>
      </c>
      <c r="J604">
        <f>IF(tblStudents[[#This Row],[Average Score]]&gt;=60,1,0)</f>
        <v>1</v>
      </c>
      <c r="K604" t="str">
        <f>IF(tblStudents[[#This Row],[Average Score]]&gt;=60,"Pass","At Risk")</f>
        <v>Pass</v>
      </c>
      <c r="L604" t="str" cm="1">
        <f t="array" ref="L604">_xlfn.IFS(tblStudents[[#This Row],[Average Score]]&gt;=80,"High",tblStudents[[#This Row],[Average Score]]&gt;=60,"Meets Standard",TRUE,"At Risk")</f>
        <v>Meets Standard</v>
      </c>
      <c r="M6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05" spans="1:13" x14ac:dyDescent="0.25">
      <c r="A605" t="s">
        <v>9</v>
      </c>
      <c r="B605" t="s">
        <v>13</v>
      </c>
      <c r="C605" t="s">
        <v>14</v>
      </c>
      <c r="D605" t="s">
        <v>12</v>
      </c>
      <c r="E605" t="s">
        <v>4</v>
      </c>
      <c r="F605">
        <v>60</v>
      </c>
      <c r="G605">
        <v>57</v>
      </c>
      <c r="H605">
        <v>51</v>
      </c>
      <c r="I605" s="1">
        <f>AVERAGE(tblStudents[[#This Row],[Math Score]],tblStudents[[#This Row],[Reading Score]],tblStudents[[#This Row],[Writing Score]])</f>
        <v>56</v>
      </c>
      <c r="J605">
        <f>IF(tblStudents[[#This Row],[Average Score]]&gt;=60,1,0)</f>
        <v>0</v>
      </c>
      <c r="K605" t="str">
        <f>IF(tblStudents[[#This Row],[Average Score]]&gt;=60,"Pass","At Risk")</f>
        <v>At Risk</v>
      </c>
      <c r="L605" t="str" cm="1">
        <f t="array" ref="L605">_xlfn.IFS(tblStudents[[#This Row],[Average Score]]&gt;=80,"High",tblStudents[[#This Row],[Average Score]]&gt;=60,"Meets Standard",TRUE,"At Risk")</f>
        <v>At Risk</v>
      </c>
      <c r="M6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06" spans="1:13" x14ac:dyDescent="0.25">
      <c r="A606" t="s">
        <v>9</v>
      </c>
      <c r="B606" t="s">
        <v>13</v>
      </c>
      <c r="C606" t="s">
        <v>8</v>
      </c>
      <c r="D606" t="s">
        <v>12</v>
      </c>
      <c r="E606" t="s">
        <v>7</v>
      </c>
      <c r="F606">
        <v>84</v>
      </c>
      <c r="G606">
        <v>89</v>
      </c>
      <c r="H606">
        <v>90</v>
      </c>
      <c r="I606" s="1">
        <f>AVERAGE(tblStudents[[#This Row],[Math Score]],tblStudents[[#This Row],[Reading Score]],tblStudents[[#This Row],[Writing Score]])</f>
        <v>87.666666666666671</v>
      </c>
      <c r="J606">
        <f>IF(tblStudents[[#This Row],[Average Score]]&gt;=60,1,0)</f>
        <v>1</v>
      </c>
      <c r="K606" t="str">
        <f>IF(tblStudents[[#This Row],[Average Score]]&gt;=60,"Pass","At Risk")</f>
        <v>Pass</v>
      </c>
      <c r="L606" t="str" cm="1">
        <f t="array" ref="L606">_xlfn.IFS(tblStudents[[#This Row],[Average Score]]&gt;=80,"High",tblStudents[[#This Row],[Average Score]]&gt;=60,"Meets Standard",TRUE,"At Risk")</f>
        <v>High</v>
      </c>
      <c r="M6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07" spans="1:13" x14ac:dyDescent="0.25">
      <c r="A607" t="s">
        <v>9</v>
      </c>
      <c r="B607" t="s">
        <v>5</v>
      </c>
      <c r="C607" t="s">
        <v>15</v>
      </c>
      <c r="D607" t="s">
        <v>3</v>
      </c>
      <c r="E607" t="s">
        <v>4</v>
      </c>
      <c r="F607">
        <v>75</v>
      </c>
      <c r="G607">
        <v>72</v>
      </c>
      <c r="H607">
        <v>62</v>
      </c>
      <c r="I607" s="1">
        <f>AVERAGE(tblStudents[[#This Row],[Math Score]],tblStudents[[#This Row],[Reading Score]],tblStudents[[#This Row],[Writing Score]])</f>
        <v>69.666666666666671</v>
      </c>
      <c r="J607">
        <f>IF(tblStudents[[#This Row],[Average Score]]&gt;=60,1,0)</f>
        <v>1</v>
      </c>
      <c r="K607" t="str">
        <f>IF(tblStudents[[#This Row],[Average Score]]&gt;=60,"Pass","At Risk")</f>
        <v>Pass</v>
      </c>
      <c r="L607" t="str" cm="1">
        <f t="array" ref="L607">_xlfn.IFS(tblStudents[[#This Row],[Average Score]]&gt;=80,"High",tblStudents[[#This Row],[Average Score]]&gt;=60,"Meets Standard",TRUE,"At Risk")</f>
        <v>Meets Standard</v>
      </c>
      <c r="M6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608" spans="1:13" x14ac:dyDescent="0.25">
      <c r="A608" t="s">
        <v>0</v>
      </c>
      <c r="B608" t="s">
        <v>5</v>
      </c>
      <c r="C608" t="s">
        <v>11</v>
      </c>
      <c r="D608" t="s">
        <v>3</v>
      </c>
      <c r="E608" t="s">
        <v>4</v>
      </c>
      <c r="F608">
        <v>85</v>
      </c>
      <c r="G608">
        <v>84</v>
      </c>
      <c r="H608">
        <v>82</v>
      </c>
      <c r="I608" s="1">
        <f>AVERAGE(tblStudents[[#This Row],[Math Score]],tblStudents[[#This Row],[Reading Score]],tblStudents[[#This Row],[Writing Score]])</f>
        <v>83.666666666666671</v>
      </c>
      <c r="J608">
        <f>IF(tblStudents[[#This Row],[Average Score]]&gt;=60,1,0)</f>
        <v>1</v>
      </c>
      <c r="K608" t="str">
        <f>IF(tblStudents[[#This Row],[Average Score]]&gt;=60,"Pass","At Risk")</f>
        <v>Pass</v>
      </c>
      <c r="L608" t="str" cm="1">
        <f t="array" ref="L608">_xlfn.IFS(tblStudents[[#This Row],[Average Score]]&gt;=80,"High",tblStudents[[#This Row],[Average Score]]&gt;=60,"Meets Standard",TRUE,"At Risk")</f>
        <v>High</v>
      </c>
      <c r="M6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609" spans="1:13" x14ac:dyDescent="0.25">
      <c r="A609" t="s">
        <v>0</v>
      </c>
      <c r="B609" t="s">
        <v>5</v>
      </c>
      <c r="C609" t="s">
        <v>8</v>
      </c>
      <c r="D609" t="s">
        <v>12</v>
      </c>
      <c r="E609" t="s">
        <v>4</v>
      </c>
      <c r="F609">
        <v>40</v>
      </c>
      <c r="G609">
        <v>58</v>
      </c>
      <c r="H609">
        <v>54</v>
      </c>
      <c r="I609" s="1">
        <f>AVERAGE(tblStudents[[#This Row],[Math Score]],tblStudents[[#This Row],[Reading Score]],tblStudents[[#This Row],[Writing Score]])</f>
        <v>50.666666666666664</v>
      </c>
      <c r="J609">
        <f>IF(tblStudents[[#This Row],[Average Score]]&gt;=60,1,0)</f>
        <v>0</v>
      </c>
      <c r="K609" t="str">
        <f>IF(tblStudents[[#This Row],[Average Score]]&gt;=60,"Pass","At Risk")</f>
        <v>At Risk</v>
      </c>
      <c r="L609" t="str" cm="1">
        <f t="array" ref="L609">_xlfn.IFS(tblStudents[[#This Row],[Average Score]]&gt;=80,"High",tblStudents[[#This Row],[Average Score]]&gt;=60,"Meets Standard",TRUE,"At Risk")</f>
        <v>At Risk</v>
      </c>
      <c r="M6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610" spans="1:13" x14ac:dyDescent="0.25">
      <c r="A610" t="s">
        <v>0</v>
      </c>
      <c r="B610" t="s">
        <v>16</v>
      </c>
      <c r="C610" t="s">
        <v>6</v>
      </c>
      <c r="D610" t="s">
        <v>3</v>
      </c>
      <c r="E610" t="s">
        <v>4</v>
      </c>
      <c r="F610">
        <v>61</v>
      </c>
      <c r="G610">
        <v>64</v>
      </c>
      <c r="H610">
        <v>62</v>
      </c>
      <c r="I610" s="1">
        <f>AVERAGE(tblStudents[[#This Row],[Math Score]],tblStudents[[#This Row],[Reading Score]],tblStudents[[#This Row],[Writing Score]])</f>
        <v>62.333333333333336</v>
      </c>
      <c r="J610">
        <f>IF(tblStudents[[#This Row],[Average Score]]&gt;=60,1,0)</f>
        <v>1</v>
      </c>
      <c r="K610" t="str">
        <f>IF(tblStudents[[#This Row],[Average Score]]&gt;=60,"Pass","At Risk")</f>
        <v>Pass</v>
      </c>
      <c r="L610" t="str" cm="1">
        <f t="array" ref="L610">_xlfn.IFS(tblStudents[[#This Row],[Average Score]]&gt;=80,"High",tblStudents[[#This Row],[Average Score]]&gt;=60,"Meets Standard",TRUE,"At Risk")</f>
        <v>Meets Standard</v>
      </c>
      <c r="M6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611" spans="1:13" x14ac:dyDescent="0.25">
      <c r="A611" t="s">
        <v>0</v>
      </c>
      <c r="B611" t="s">
        <v>1</v>
      </c>
      <c r="C611" t="s">
        <v>11</v>
      </c>
      <c r="D611" t="s">
        <v>3</v>
      </c>
      <c r="E611" t="s">
        <v>4</v>
      </c>
      <c r="F611">
        <v>58</v>
      </c>
      <c r="G611">
        <v>63</v>
      </c>
      <c r="H611">
        <v>65</v>
      </c>
      <c r="I611" s="1">
        <f>AVERAGE(tblStudents[[#This Row],[Math Score]],tblStudents[[#This Row],[Reading Score]],tblStudents[[#This Row],[Writing Score]])</f>
        <v>62</v>
      </c>
      <c r="J611">
        <f>IF(tblStudents[[#This Row],[Average Score]]&gt;=60,1,0)</f>
        <v>1</v>
      </c>
      <c r="K611" t="str">
        <f>IF(tblStudents[[#This Row],[Average Score]]&gt;=60,"Pass","At Risk")</f>
        <v>Pass</v>
      </c>
      <c r="L611" t="str" cm="1">
        <f t="array" ref="L611">_xlfn.IFS(tblStudents[[#This Row],[Average Score]]&gt;=80,"High",tblStudents[[#This Row],[Average Score]]&gt;=60,"Meets Standard",TRUE,"At Risk")</f>
        <v>Meets Standard</v>
      </c>
      <c r="M6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12" spans="1:13" x14ac:dyDescent="0.25">
      <c r="A612" t="s">
        <v>9</v>
      </c>
      <c r="B612" t="s">
        <v>13</v>
      </c>
      <c r="C612" t="s">
        <v>6</v>
      </c>
      <c r="D612" t="s">
        <v>12</v>
      </c>
      <c r="E612" t="s">
        <v>7</v>
      </c>
      <c r="F612">
        <v>69</v>
      </c>
      <c r="G612">
        <v>60</v>
      </c>
      <c r="H612">
        <v>63</v>
      </c>
      <c r="I612" s="1">
        <f>AVERAGE(tblStudents[[#This Row],[Math Score]],tblStudents[[#This Row],[Reading Score]],tblStudents[[#This Row],[Writing Score]])</f>
        <v>64</v>
      </c>
      <c r="J612">
        <f>IF(tblStudents[[#This Row],[Average Score]]&gt;=60,1,0)</f>
        <v>1</v>
      </c>
      <c r="K612" t="str">
        <f>IF(tblStudents[[#This Row],[Average Score]]&gt;=60,"Pass","At Risk")</f>
        <v>Pass</v>
      </c>
      <c r="L612" t="str" cm="1">
        <f t="array" ref="L612">_xlfn.IFS(tblStudents[[#This Row],[Average Score]]&gt;=80,"High",tblStudents[[#This Row],[Average Score]]&gt;=60,"Meets Standard",TRUE,"At Risk")</f>
        <v>Meets Standard</v>
      </c>
      <c r="M6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13" spans="1:13" x14ac:dyDescent="0.25">
      <c r="A613" t="s">
        <v>0</v>
      </c>
      <c r="B613" t="s">
        <v>5</v>
      </c>
      <c r="C613" t="s">
        <v>6</v>
      </c>
      <c r="D613" t="s">
        <v>3</v>
      </c>
      <c r="E613" t="s">
        <v>4</v>
      </c>
      <c r="F613">
        <v>58</v>
      </c>
      <c r="G613">
        <v>59</v>
      </c>
      <c r="H613">
        <v>66</v>
      </c>
      <c r="I613" s="1">
        <f>AVERAGE(tblStudents[[#This Row],[Math Score]],tblStudents[[#This Row],[Reading Score]],tblStudents[[#This Row],[Writing Score]])</f>
        <v>61</v>
      </c>
      <c r="J613">
        <f>IF(tblStudents[[#This Row],[Average Score]]&gt;=60,1,0)</f>
        <v>1</v>
      </c>
      <c r="K613" t="str">
        <f>IF(tblStudents[[#This Row],[Average Score]]&gt;=60,"Pass","At Risk")</f>
        <v>Pass</v>
      </c>
      <c r="L613" t="str" cm="1">
        <f t="array" ref="L613">_xlfn.IFS(tblStudents[[#This Row],[Average Score]]&gt;=80,"High",tblStudents[[#This Row],[Average Score]]&gt;=60,"Meets Standard",TRUE,"At Risk")</f>
        <v>Meets Standard</v>
      </c>
      <c r="M6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14" spans="1:13" x14ac:dyDescent="0.25">
      <c r="A614" t="s">
        <v>9</v>
      </c>
      <c r="B614" t="s">
        <v>5</v>
      </c>
      <c r="C614" t="s">
        <v>2</v>
      </c>
      <c r="D614" t="s">
        <v>3</v>
      </c>
      <c r="E614" t="s">
        <v>7</v>
      </c>
      <c r="F614">
        <v>94</v>
      </c>
      <c r="G614">
        <v>90</v>
      </c>
      <c r="H614">
        <v>91</v>
      </c>
      <c r="I614" s="1">
        <f>AVERAGE(tblStudents[[#This Row],[Math Score]],tblStudents[[#This Row],[Reading Score]],tblStudents[[#This Row],[Writing Score]])</f>
        <v>91.666666666666671</v>
      </c>
      <c r="J614">
        <f>IF(tblStudents[[#This Row],[Average Score]]&gt;=60,1,0)</f>
        <v>1</v>
      </c>
      <c r="K614" t="str">
        <f>IF(tblStudents[[#This Row],[Average Score]]&gt;=60,"Pass","At Risk")</f>
        <v>Pass</v>
      </c>
      <c r="L614" t="str" cm="1">
        <f t="array" ref="L614">_xlfn.IFS(tblStudents[[#This Row],[Average Score]]&gt;=80,"High",tblStudents[[#This Row],[Average Score]]&gt;=60,"Meets Standard",TRUE,"At Risk")</f>
        <v>High</v>
      </c>
      <c r="M6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15" spans="1:13" x14ac:dyDescent="0.25">
      <c r="A615" t="s">
        <v>0</v>
      </c>
      <c r="B615" t="s">
        <v>5</v>
      </c>
      <c r="C615" t="s">
        <v>11</v>
      </c>
      <c r="D615" t="s">
        <v>3</v>
      </c>
      <c r="E615" t="s">
        <v>4</v>
      </c>
      <c r="F615">
        <v>65</v>
      </c>
      <c r="G615">
        <v>77</v>
      </c>
      <c r="H615">
        <v>74</v>
      </c>
      <c r="I615" s="1">
        <f>AVERAGE(tblStudents[[#This Row],[Math Score]],tblStudents[[#This Row],[Reading Score]],tblStudents[[#This Row],[Writing Score]])</f>
        <v>72</v>
      </c>
      <c r="J615">
        <f>IF(tblStudents[[#This Row],[Average Score]]&gt;=60,1,0)</f>
        <v>1</v>
      </c>
      <c r="K615" t="str">
        <f>IF(tblStudents[[#This Row],[Average Score]]&gt;=60,"Pass","At Risk")</f>
        <v>Pass</v>
      </c>
      <c r="L615" t="str" cm="1">
        <f t="array" ref="L615">_xlfn.IFS(tblStudents[[#This Row],[Average Score]]&gt;=80,"High",tblStudents[[#This Row],[Average Score]]&gt;=60,"Meets Standard",TRUE,"At Risk")</f>
        <v>Meets Standard</v>
      </c>
      <c r="M6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16" spans="1:13" x14ac:dyDescent="0.25">
      <c r="A616" t="s">
        <v>0</v>
      </c>
      <c r="B616" t="s">
        <v>10</v>
      </c>
      <c r="C616" t="s">
        <v>11</v>
      </c>
      <c r="D616" t="s">
        <v>3</v>
      </c>
      <c r="E616" t="s">
        <v>4</v>
      </c>
      <c r="F616">
        <v>82</v>
      </c>
      <c r="G616">
        <v>93</v>
      </c>
      <c r="H616">
        <v>93</v>
      </c>
      <c r="I616" s="1">
        <f>AVERAGE(tblStudents[[#This Row],[Math Score]],tblStudents[[#This Row],[Reading Score]],tblStudents[[#This Row],[Writing Score]])</f>
        <v>89.333333333333329</v>
      </c>
      <c r="J616">
        <f>IF(tblStudents[[#This Row],[Average Score]]&gt;=60,1,0)</f>
        <v>1</v>
      </c>
      <c r="K616" t="str">
        <f>IF(tblStudents[[#This Row],[Average Score]]&gt;=60,"Pass","At Risk")</f>
        <v>Pass</v>
      </c>
      <c r="L616" t="str" cm="1">
        <f t="array" ref="L616">_xlfn.IFS(tblStudents[[#This Row],[Average Score]]&gt;=80,"High",tblStudents[[#This Row],[Average Score]]&gt;=60,"Meets Standard",TRUE,"At Risk")</f>
        <v>High</v>
      </c>
      <c r="M6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617" spans="1:13" x14ac:dyDescent="0.25">
      <c r="A617" t="s">
        <v>0</v>
      </c>
      <c r="B617" t="s">
        <v>5</v>
      </c>
      <c r="C617" t="s">
        <v>14</v>
      </c>
      <c r="D617" t="s">
        <v>3</v>
      </c>
      <c r="E617" t="s">
        <v>4</v>
      </c>
      <c r="F617">
        <v>60</v>
      </c>
      <c r="G617">
        <v>68</v>
      </c>
      <c r="H617">
        <v>72</v>
      </c>
      <c r="I617" s="1">
        <f>AVERAGE(tblStudents[[#This Row],[Math Score]],tblStudents[[#This Row],[Reading Score]],tblStudents[[#This Row],[Writing Score]])</f>
        <v>66.666666666666671</v>
      </c>
      <c r="J617">
        <f>IF(tblStudents[[#This Row],[Average Score]]&gt;=60,1,0)</f>
        <v>1</v>
      </c>
      <c r="K617" t="str">
        <f>IF(tblStudents[[#This Row],[Average Score]]&gt;=60,"Pass","At Risk")</f>
        <v>Pass</v>
      </c>
      <c r="L617" t="str" cm="1">
        <f t="array" ref="L617">_xlfn.IFS(tblStudents[[#This Row],[Average Score]]&gt;=80,"High",tblStudents[[#This Row],[Average Score]]&gt;=60,"Meets Standard",TRUE,"At Risk")</f>
        <v>Meets Standard</v>
      </c>
      <c r="M6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18" spans="1:13" x14ac:dyDescent="0.25">
      <c r="A618" t="s">
        <v>0</v>
      </c>
      <c r="B618" t="s">
        <v>16</v>
      </c>
      <c r="C618" t="s">
        <v>2</v>
      </c>
      <c r="D618" t="s">
        <v>3</v>
      </c>
      <c r="E618" t="s">
        <v>4</v>
      </c>
      <c r="F618">
        <v>37</v>
      </c>
      <c r="G618">
        <v>45</v>
      </c>
      <c r="H618">
        <v>38</v>
      </c>
      <c r="I618" s="1">
        <f>AVERAGE(tblStudents[[#This Row],[Math Score]],tblStudents[[#This Row],[Reading Score]],tblStudents[[#This Row],[Writing Score]])</f>
        <v>40</v>
      </c>
      <c r="J618">
        <f>IF(tblStudents[[#This Row],[Average Score]]&gt;=60,1,0)</f>
        <v>0</v>
      </c>
      <c r="K618" t="str">
        <f>IF(tblStudents[[#This Row],[Average Score]]&gt;=60,"Pass","At Risk")</f>
        <v>At Risk</v>
      </c>
      <c r="L618" t="str" cm="1">
        <f t="array" ref="L618">_xlfn.IFS(tblStudents[[#This Row],[Average Score]]&gt;=80,"High",tblStudents[[#This Row],[Average Score]]&gt;=60,"Meets Standard",TRUE,"At Risk")</f>
        <v>At Risk</v>
      </c>
      <c r="M6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19" spans="1:13" x14ac:dyDescent="0.25">
      <c r="A619" t="s">
        <v>9</v>
      </c>
      <c r="B619" t="s">
        <v>13</v>
      </c>
      <c r="C619" t="s">
        <v>2</v>
      </c>
      <c r="D619" t="s">
        <v>3</v>
      </c>
      <c r="E619" t="s">
        <v>4</v>
      </c>
      <c r="F619">
        <v>88</v>
      </c>
      <c r="G619">
        <v>78</v>
      </c>
      <c r="H619">
        <v>83</v>
      </c>
      <c r="I619" s="1">
        <f>AVERAGE(tblStudents[[#This Row],[Math Score]],tblStudents[[#This Row],[Reading Score]],tblStudents[[#This Row],[Writing Score]])</f>
        <v>83</v>
      </c>
      <c r="J619">
        <f>IF(tblStudents[[#This Row],[Average Score]]&gt;=60,1,0)</f>
        <v>1</v>
      </c>
      <c r="K619" t="str">
        <f>IF(tblStudents[[#This Row],[Average Score]]&gt;=60,"Pass","At Risk")</f>
        <v>Pass</v>
      </c>
      <c r="L619" t="str" cm="1">
        <f t="array" ref="L619">_xlfn.IFS(tblStudents[[#This Row],[Average Score]]&gt;=80,"High",tblStudents[[#This Row],[Average Score]]&gt;=60,"Meets Standard",TRUE,"At Risk")</f>
        <v>High</v>
      </c>
      <c r="M6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20" spans="1:13" x14ac:dyDescent="0.25">
      <c r="A620" t="s">
        <v>9</v>
      </c>
      <c r="B620" t="s">
        <v>13</v>
      </c>
      <c r="C620" t="s">
        <v>8</v>
      </c>
      <c r="D620" t="s">
        <v>3</v>
      </c>
      <c r="E620" t="s">
        <v>4</v>
      </c>
      <c r="F620">
        <v>95</v>
      </c>
      <c r="G620">
        <v>81</v>
      </c>
      <c r="H620">
        <v>84</v>
      </c>
      <c r="I620" s="1">
        <f>AVERAGE(tblStudents[[#This Row],[Math Score]],tblStudents[[#This Row],[Reading Score]],tblStudents[[#This Row],[Writing Score]])</f>
        <v>86.666666666666671</v>
      </c>
      <c r="J620">
        <f>IF(tblStudents[[#This Row],[Average Score]]&gt;=60,1,0)</f>
        <v>1</v>
      </c>
      <c r="K620" t="str">
        <f>IF(tblStudents[[#This Row],[Average Score]]&gt;=60,"Pass","At Risk")</f>
        <v>Pass</v>
      </c>
      <c r="L620" t="str" cm="1">
        <f t="array" ref="L620">_xlfn.IFS(tblStudents[[#This Row],[Average Score]]&gt;=80,"High",tblStudents[[#This Row],[Average Score]]&gt;=60,"Meets Standard",TRUE,"At Risk")</f>
        <v>High</v>
      </c>
      <c r="M6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621" spans="1:13" x14ac:dyDescent="0.25">
      <c r="A621" t="s">
        <v>9</v>
      </c>
      <c r="B621" t="s">
        <v>5</v>
      </c>
      <c r="C621" t="s">
        <v>11</v>
      </c>
      <c r="D621" t="s">
        <v>12</v>
      </c>
      <c r="E621" t="s">
        <v>7</v>
      </c>
      <c r="F621">
        <v>65</v>
      </c>
      <c r="G621">
        <v>73</v>
      </c>
      <c r="H621">
        <v>68</v>
      </c>
      <c r="I621" s="1">
        <f>AVERAGE(tblStudents[[#This Row],[Math Score]],tblStudents[[#This Row],[Reading Score]],tblStudents[[#This Row],[Writing Score]])</f>
        <v>68.666666666666671</v>
      </c>
      <c r="J621">
        <f>IF(tblStudents[[#This Row],[Average Score]]&gt;=60,1,0)</f>
        <v>1</v>
      </c>
      <c r="K621" t="str">
        <f>IF(tblStudents[[#This Row],[Average Score]]&gt;=60,"Pass","At Risk")</f>
        <v>Pass</v>
      </c>
      <c r="L621" t="str" cm="1">
        <f t="array" ref="L621">_xlfn.IFS(tblStudents[[#This Row],[Average Score]]&gt;=80,"High",tblStudents[[#This Row],[Average Score]]&gt;=60,"Meets Standard",TRUE,"At Risk")</f>
        <v>Meets Standard</v>
      </c>
      <c r="M6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22" spans="1:13" x14ac:dyDescent="0.25">
      <c r="A622" t="s">
        <v>0</v>
      </c>
      <c r="B622" t="s">
        <v>5</v>
      </c>
      <c r="C622" t="s">
        <v>14</v>
      </c>
      <c r="D622" t="s">
        <v>12</v>
      </c>
      <c r="E622" t="s">
        <v>4</v>
      </c>
      <c r="F622">
        <v>35</v>
      </c>
      <c r="G622">
        <v>61</v>
      </c>
      <c r="H622">
        <v>54</v>
      </c>
      <c r="I622" s="1">
        <f>AVERAGE(tblStudents[[#This Row],[Math Score]],tblStudents[[#This Row],[Reading Score]],tblStudents[[#This Row],[Writing Score]])</f>
        <v>50</v>
      </c>
      <c r="J622">
        <f>IF(tblStudents[[#This Row],[Average Score]]&gt;=60,1,0)</f>
        <v>0</v>
      </c>
      <c r="K622" t="str">
        <f>IF(tblStudents[[#This Row],[Average Score]]&gt;=60,"Pass","At Risk")</f>
        <v>At Risk</v>
      </c>
      <c r="L622" t="str" cm="1">
        <f t="array" ref="L622">_xlfn.IFS(tblStudents[[#This Row],[Average Score]]&gt;=80,"High",tblStudents[[#This Row],[Average Score]]&gt;=60,"Meets Standard",TRUE,"At Risk")</f>
        <v>At Risk</v>
      </c>
      <c r="M6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26</v>
      </c>
    </row>
    <row r="623" spans="1:13" x14ac:dyDescent="0.25">
      <c r="A623" t="s">
        <v>9</v>
      </c>
      <c r="B623" t="s">
        <v>1</v>
      </c>
      <c r="C623" t="s">
        <v>2</v>
      </c>
      <c r="D623" t="s">
        <v>12</v>
      </c>
      <c r="E623" t="s">
        <v>4</v>
      </c>
      <c r="F623">
        <v>62</v>
      </c>
      <c r="G623">
        <v>63</v>
      </c>
      <c r="H623">
        <v>56</v>
      </c>
      <c r="I623" s="1">
        <f>AVERAGE(tblStudents[[#This Row],[Math Score]],tblStudents[[#This Row],[Reading Score]],tblStudents[[#This Row],[Writing Score]])</f>
        <v>60.333333333333336</v>
      </c>
      <c r="J623">
        <f>IF(tblStudents[[#This Row],[Average Score]]&gt;=60,1,0)</f>
        <v>1</v>
      </c>
      <c r="K623" t="str">
        <f>IF(tblStudents[[#This Row],[Average Score]]&gt;=60,"Pass","At Risk")</f>
        <v>Pass</v>
      </c>
      <c r="L623" t="str" cm="1">
        <f t="array" ref="L623">_xlfn.IFS(tblStudents[[#This Row],[Average Score]]&gt;=80,"High",tblStudents[[#This Row],[Average Score]]&gt;=60,"Meets Standard",TRUE,"At Risk")</f>
        <v>Meets Standard</v>
      </c>
      <c r="M6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24" spans="1:13" x14ac:dyDescent="0.25">
      <c r="A624" t="s">
        <v>9</v>
      </c>
      <c r="B624" t="s">
        <v>5</v>
      </c>
      <c r="C624" t="s">
        <v>14</v>
      </c>
      <c r="D624" t="s">
        <v>12</v>
      </c>
      <c r="E624" t="s">
        <v>7</v>
      </c>
      <c r="F624">
        <v>58</v>
      </c>
      <c r="G624">
        <v>51</v>
      </c>
      <c r="H624">
        <v>52</v>
      </c>
      <c r="I624" s="1">
        <f>AVERAGE(tblStudents[[#This Row],[Math Score]],tblStudents[[#This Row],[Reading Score]],tblStudents[[#This Row],[Writing Score]])</f>
        <v>53.666666666666664</v>
      </c>
      <c r="J624">
        <f>IF(tblStudents[[#This Row],[Average Score]]&gt;=60,1,0)</f>
        <v>0</v>
      </c>
      <c r="K624" t="str">
        <f>IF(tblStudents[[#This Row],[Average Score]]&gt;=60,"Pass","At Risk")</f>
        <v>At Risk</v>
      </c>
      <c r="L624" t="str" cm="1">
        <f t="array" ref="L624">_xlfn.IFS(tblStudents[[#This Row],[Average Score]]&gt;=80,"High",tblStudents[[#This Row],[Average Score]]&gt;=60,"Meets Standard",TRUE,"At Risk")</f>
        <v>At Risk</v>
      </c>
      <c r="M6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25" spans="1:13" x14ac:dyDescent="0.25">
      <c r="A625" t="s">
        <v>9</v>
      </c>
      <c r="B625" t="s">
        <v>10</v>
      </c>
      <c r="C625" t="s">
        <v>6</v>
      </c>
      <c r="D625" t="s">
        <v>3</v>
      </c>
      <c r="E625" t="s">
        <v>7</v>
      </c>
      <c r="F625">
        <v>100</v>
      </c>
      <c r="G625">
        <v>96</v>
      </c>
      <c r="H625">
        <v>86</v>
      </c>
      <c r="I625" s="1">
        <f>AVERAGE(tblStudents[[#This Row],[Math Score]],tblStudents[[#This Row],[Reading Score]],tblStudents[[#This Row],[Writing Score]])</f>
        <v>94</v>
      </c>
      <c r="J625">
        <f>IF(tblStudents[[#This Row],[Average Score]]&gt;=60,1,0)</f>
        <v>1</v>
      </c>
      <c r="K625" t="str">
        <f>IF(tblStudents[[#This Row],[Average Score]]&gt;=60,"Pass","At Risk")</f>
        <v>Pass</v>
      </c>
      <c r="L625" t="str" cm="1">
        <f t="array" ref="L625">_xlfn.IFS(tblStudents[[#This Row],[Average Score]]&gt;=80,"High",tblStudents[[#This Row],[Average Score]]&gt;=60,"Meets Standard",TRUE,"At Risk")</f>
        <v>High</v>
      </c>
      <c r="M6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626" spans="1:13" x14ac:dyDescent="0.25">
      <c r="A626" t="s">
        <v>0</v>
      </c>
      <c r="B626" t="s">
        <v>16</v>
      </c>
      <c r="C626" t="s">
        <v>2</v>
      </c>
      <c r="D626" t="s">
        <v>12</v>
      </c>
      <c r="E626" t="s">
        <v>4</v>
      </c>
      <c r="F626">
        <v>61</v>
      </c>
      <c r="G626">
        <v>58</v>
      </c>
      <c r="H626">
        <v>62</v>
      </c>
      <c r="I626" s="1">
        <f>AVERAGE(tblStudents[[#This Row],[Math Score]],tblStudents[[#This Row],[Reading Score]],tblStudents[[#This Row],[Writing Score]])</f>
        <v>60.333333333333336</v>
      </c>
      <c r="J626">
        <f>IF(tblStudents[[#This Row],[Average Score]]&gt;=60,1,0)</f>
        <v>1</v>
      </c>
      <c r="K626" t="str">
        <f>IF(tblStudents[[#This Row],[Average Score]]&gt;=60,"Pass","At Risk")</f>
        <v>Pass</v>
      </c>
      <c r="L626" t="str" cm="1">
        <f t="array" ref="L626">_xlfn.IFS(tblStudents[[#This Row],[Average Score]]&gt;=80,"High",tblStudents[[#This Row],[Average Score]]&gt;=60,"Meets Standard",TRUE,"At Risk")</f>
        <v>Meets Standard</v>
      </c>
      <c r="M6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27" spans="1:13" x14ac:dyDescent="0.25">
      <c r="A627" t="s">
        <v>9</v>
      </c>
      <c r="B627" t="s">
        <v>13</v>
      </c>
      <c r="C627" t="s">
        <v>6</v>
      </c>
      <c r="D627" t="s">
        <v>3</v>
      </c>
      <c r="E627" t="s">
        <v>7</v>
      </c>
      <c r="F627">
        <v>100</v>
      </c>
      <c r="G627">
        <v>97</v>
      </c>
      <c r="H627">
        <v>99</v>
      </c>
      <c r="I627" s="1">
        <f>AVERAGE(tblStudents[[#This Row],[Math Score]],tblStudents[[#This Row],[Reading Score]],tblStudents[[#This Row],[Writing Score]])</f>
        <v>98.666666666666671</v>
      </c>
      <c r="J627">
        <f>IF(tblStudents[[#This Row],[Average Score]]&gt;=60,1,0)</f>
        <v>1</v>
      </c>
      <c r="K627" t="str">
        <f>IF(tblStudents[[#This Row],[Average Score]]&gt;=60,"Pass","At Risk")</f>
        <v>Pass</v>
      </c>
      <c r="L627" t="str" cm="1">
        <f t="array" ref="L627">_xlfn.IFS(tblStudents[[#This Row],[Average Score]]&gt;=80,"High",tblStudents[[#This Row],[Average Score]]&gt;=60,"Meets Standard",TRUE,"At Risk")</f>
        <v>High</v>
      </c>
      <c r="M6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628" spans="1:13" x14ac:dyDescent="0.25">
      <c r="A628" t="s">
        <v>9</v>
      </c>
      <c r="B628" t="s">
        <v>1</v>
      </c>
      <c r="C628" t="s">
        <v>11</v>
      </c>
      <c r="D628" t="s">
        <v>12</v>
      </c>
      <c r="E628" t="s">
        <v>7</v>
      </c>
      <c r="F628">
        <v>69</v>
      </c>
      <c r="G628">
        <v>70</v>
      </c>
      <c r="H628">
        <v>63</v>
      </c>
      <c r="I628" s="1">
        <f>AVERAGE(tblStudents[[#This Row],[Math Score]],tblStudents[[#This Row],[Reading Score]],tblStudents[[#This Row],[Writing Score]])</f>
        <v>67.333333333333329</v>
      </c>
      <c r="J628">
        <f>IF(tblStudents[[#This Row],[Average Score]]&gt;=60,1,0)</f>
        <v>1</v>
      </c>
      <c r="K628" t="str">
        <f>IF(tblStudents[[#This Row],[Average Score]]&gt;=60,"Pass","At Risk")</f>
        <v>Pass</v>
      </c>
      <c r="L628" t="str" cm="1">
        <f t="array" ref="L628">_xlfn.IFS(tblStudents[[#This Row],[Average Score]]&gt;=80,"High",tblStudents[[#This Row],[Average Score]]&gt;=60,"Meets Standard",TRUE,"At Risk")</f>
        <v>Meets Standard</v>
      </c>
      <c r="M6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29" spans="1:13" x14ac:dyDescent="0.25">
      <c r="A629" t="s">
        <v>9</v>
      </c>
      <c r="B629" t="s">
        <v>13</v>
      </c>
      <c r="C629" t="s">
        <v>11</v>
      </c>
      <c r="D629" t="s">
        <v>3</v>
      </c>
      <c r="E629" t="s">
        <v>4</v>
      </c>
      <c r="F629">
        <v>61</v>
      </c>
      <c r="G629">
        <v>48</v>
      </c>
      <c r="H629">
        <v>46</v>
      </c>
      <c r="I629" s="1">
        <f>AVERAGE(tblStudents[[#This Row],[Math Score]],tblStudents[[#This Row],[Reading Score]],tblStudents[[#This Row],[Writing Score]])</f>
        <v>51.666666666666664</v>
      </c>
      <c r="J629">
        <f>IF(tblStudents[[#This Row],[Average Score]]&gt;=60,1,0)</f>
        <v>0</v>
      </c>
      <c r="K629" t="str">
        <f>IF(tblStudents[[#This Row],[Average Score]]&gt;=60,"Pass","At Risk")</f>
        <v>At Risk</v>
      </c>
      <c r="L629" t="str" cm="1">
        <f t="array" ref="L629">_xlfn.IFS(tblStudents[[#This Row],[Average Score]]&gt;=80,"High",tblStudents[[#This Row],[Average Score]]&gt;=60,"Meets Standard",TRUE,"At Risk")</f>
        <v>At Risk</v>
      </c>
      <c r="M6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630" spans="1:13" x14ac:dyDescent="0.25">
      <c r="A630" t="s">
        <v>9</v>
      </c>
      <c r="B630" t="s">
        <v>13</v>
      </c>
      <c r="C630" t="s">
        <v>6</v>
      </c>
      <c r="D630" t="s">
        <v>12</v>
      </c>
      <c r="E630" t="s">
        <v>4</v>
      </c>
      <c r="F630">
        <v>49</v>
      </c>
      <c r="G630">
        <v>57</v>
      </c>
      <c r="H630">
        <v>46</v>
      </c>
      <c r="I630" s="1">
        <f>AVERAGE(tblStudents[[#This Row],[Math Score]],tblStudents[[#This Row],[Reading Score]],tblStudents[[#This Row],[Writing Score]])</f>
        <v>50.666666666666664</v>
      </c>
      <c r="J630">
        <f>IF(tblStudents[[#This Row],[Average Score]]&gt;=60,1,0)</f>
        <v>0</v>
      </c>
      <c r="K630" t="str">
        <f>IF(tblStudents[[#This Row],[Average Score]]&gt;=60,"Pass","At Risk")</f>
        <v>At Risk</v>
      </c>
      <c r="L630" t="str" cm="1">
        <f t="array" ref="L630">_xlfn.IFS(tblStudents[[#This Row],[Average Score]]&gt;=80,"High",tblStudents[[#This Row],[Average Score]]&gt;=60,"Meets Standard",TRUE,"At Risk")</f>
        <v>At Risk</v>
      </c>
      <c r="M6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631" spans="1:13" x14ac:dyDescent="0.25">
      <c r="A631" t="s">
        <v>0</v>
      </c>
      <c r="B631" t="s">
        <v>5</v>
      </c>
      <c r="C631" t="s">
        <v>15</v>
      </c>
      <c r="D631" t="s">
        <v>3</v>
      </c>
      <c r="E631" t="s">
        <v>7</v>
      </c>
      <c r="F631">
        <v>44</v>
      </c>
      <c r="G631">
        <v>51</v>
      </c>
      <c r="H631">
        <v>55</v>
      </c>
      <c r="I631" s="1">
        <f>AVERAGE(tblStudents[[#This Row],[Math Score]],tblStudents[[#This Row],[Reading Score]],tblStudents[[#This Row],[Writing Score]])</f>
        <v>50</v>
      </c>
      <c r="J631">
        <f>IF(tblStudents[[#This Row],[Average Score]]&gt;=60,1,0)</f>
        <v>0</v>
      </c>
      <c r="K631" t="str">
        <f>IF(tblStudents[[#This Row],[Average Score]]&gt;=60,"Pass","At Risk")</f>
        <v>At Risk</v>
      </c>
      <c r="L631" t="str" cm="1">
        <f t="array" ref="L631">_xlfn.IFS(tblStudents[[#This Row],[Average Score]]&gt;=80,"High",tblStudents[[#This Row],[Average Score]]&gt;=60,"Meets Standard",TRUE,"At Risk")</f>
        <v>At Risk</v>
      </c>
      <c r="M6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632" spans="1:13" x14ac:dyDescent="0.25">
      <c r="A632" t="s">
        <v>9</v>
      </c>
      <c r="B632" t="s">
        <v>13</v>
      </c>
      <c r="C632" t="s">
        <v>6</v>
      </c>
      <c r="D632" t="s">
        <v>3</v>
      </c>
      <c r="E632" t="s">
        <v>4</v>
      </c>
      <c r="F632">
        <v>67</v>
      </c>
      <c r="G632">
        <v>64</v>
      </c>
      <c r="H632">
        <v>70</v>
      </c>
      <c r="I632" s="1">
        <f>AVERAGE(tblStudents[[#This Row],[Math Score]],tblStudents[[#This Row],[Reading Score]],tblStudents[[#This Row],[Writing Score]])</f>
        <v>67</v>
      </c>
      <c r="J632">
        <f>IF(tblStudents[[#This Row],[Average Score]]&gt;=60,1,0)</f>
        <v>1</v>
      </c>
      <c r="K632" t="str">
        <f>IF(tblStudents[[#This Row],[Average Score]]&gt;=60,"Pass","At Risk")</f>
        <v>Pass</v>
      </c>
      <c r="L632" t="str" cm="1">
        <f t="array" ref="L632">_xlfn.IFS(tblStudents[[#This Row],[Average Score]]&gt;=80,"High",tblStudents[[#This Row],[Average Score]]&gt;=60,"Meets Standard",TRUE,"At Risk")</f>
        <v>Meets Standard</v>
      </c>
      <c r="M6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33" spans="1:13" x14ac:dyDescent="0.25">
      <c r="A633" t="s">
        <v>9</v>
      </c>
      <c r="B633" t="s">
        <v>1</v>
      </c>
      <c r="C633" t="s">
        <v>14</v>
      </c>
      <c r="D633" t="s">
        <v>3</v>
      </c>
      <c r="E633" t="s">
        <v>4</v>
      </c>
      <c r="F633">
        <v>79</v>
      </c>
      <c r="G633">
        <v>60</v>
      </c>
      <c r="H633">
        <v>65</v>
      </c>
      <c r="I633" s="1">
        <f>AVERAGE(tblStudents[[#This Row],[Math Score]],tblStudents[[#This Row],[Reading Score]],tblStudents[[#This Row],[Writing Score]])</f>
        <v>68</v>
      </c>
      <c r="J633">
        <f>IF(tblStudents[[#This Row],[Average Score]]&gt;=60,1,0)</f>
        <v>1</v>
      </c>
      <c r="K633" t="str">
        <f>IF(tblStudents[[#This Row],[Average Score]]&gt;=60,"Pass","At Risk")</f>
        <v>Pass</v>
      </c>
      <c r="L633" t="str" cm="1">
        <f t="array" ref="L633">_xlfn.IFS(tblStudents[[#This Row],[Average Score]]&gt;=80,"High",tblStudents[[#This Row],[Average Score]]&gt;=60,"Meets Standard",TRUE,"At Risk")</f>
        <v>Meets Standard</v>
      </c>
      <c r="M6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634" spans="1:13" x14ac:dyDescent="0.25">
      <c r="A634" t="s">
        <v>0</v>
      </c>
      <c r="B634" t="s">
        <v>1</v>
      </c>
      <c r="C634" t="s">
        <v>2</v>
      </c>
      <c r="D634" t="s">
        <v>3</v>
      </c>
      <c r="E634" t="s">
        <v>7</v>
      </c>
      <c r="F634">
        <v>66</v>
      </c>
      <c r="G634">
        <v>74</v>
      </c>
      <c r="H634">
        <v>81</v>
      </c>
      <c r="I634" s="1">
        <f>AVERAGE(tblStudents[[#This Row],[Math Score]],tblStudents[[#This Row],[Reading Score]],tblStudents[[#This Row],[Writing Score]])</f>
        <v>73.666666666666671</v>
      </c>
      <c r="J634">
        <f>IF(tblStudents[[#This Row],[Average Score]]&gt;=60,1,0)</f>
        <v>1</v>
      </c>
      <c r="K634" t="str">
        <f>IF(tblStudents[[#This Row],[Average Score]]&gt;=60,"Pass","At Risk")</f>
        <v>Pass</v>
      </c>
      <c r="L634" t="str" cm="1">
        <f t="array" ref="L634">_xlfn.IFS(tblStudents[[#This Row],[Average Score]]&gt;=80,"High",tblStudents[[#This Row],[Average Score]]&gt;=60,"Meets Standard",TRUE,"At Risk")</f>
        <v>Meets Standard</v>
      </c>
      <c r="M6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635" spans="1:13" x14ac:dyDescent="0.25">
      <c r="A635" t="s">
        <v>0</v>
      </c>
      <c r="B635" t="s">
        <v>5</v>
      </c>
      <c r="C635" t="s">
        <v>14</v>
      </c>
      <c r="D635" t="s">
        <v>3</v>
      </c>
      <c r="E635" t="s">
        <v>4</v>
      </c>
      <c r="F635">
        <v>75</v>
      </c>
      <c r="G635">
        <v>88</v>
      </c>
      <c r="H635">
        <v>85</v>
      </c>
      <c r="I635" s="1">
        <f>AVERAGE(tblStudents[[#This Row],[Math Score]],tblStudents[[#This Row],[Reading Score]],tblStudents[[#This Row],[Writing Score]])</f>
        <v>82.666666666666671</v>
      </c>
      <c r="J635">
        <f>IF(tblStudents[[#This Row],[Average Score]]&gt;=60,1,0)</f>
        <v>1</v>
      </c>
      <c r="K635" t="str">
        <f>IF(tblStudents[[#This Row],[Average Score]]&gt;=60,"Pass","At Risk")</f>
        <v>Pass</v>
      </c>
      <c r="L635" t="str" cm="1">
        <f t="array" ref="L635">_xlfn.IFS(tblStudents[[#This Row],[Average Score]]&gt;=80,"High",tblStudents[[#This Row],[Average Score]]&gt;=60,"Meets Standard",TRUE,"At Risk")</f>
        <v>High</v>
      </c>
      <c r="M6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636" spans="1:13" x14ac:dyDescent="0.25">
      <c r="A636" t="s">
        <v>9</v>
      </c>
      <c r="B636" t="s">
        <v>13</v>
      </c>
      <c r="C636" t="s">
        <v>15</v>
      </c>
      <c r="D636" t="s">
        <v>3</v>
      </c>
      <c r="E636" t="s">
        <v>4</v>
      </c>
      <c r="F636">
        <v>84</v>
      </c>
      <c r="G636">
        <v>84</v>
      </c>
      <c r="H636">
        <v>80</v>
      </c>
      <c r="I636" s="1">
        <f>AVERAGE(tblStudents[[#This Row],[Math Score]],tblStudents[[#This Row],[Reading Score]],tblStudents[[#This Row],[Writing Score]])</f>
        <v>82.666666666666671</v>
      </c>
      <c r="J636">
        <f>IF(tblStudents[[#This Row],[Average Score]]&gt;=60,1,0)</f>
        <v>1</v>
      </c>
      <c r="K636" t="str">
        <f>IF(tblStudents[[#This Row],[Average Score]]&gt;=60,"Pass","At Risk")</f>
        <v>Pass</v>
      </c>
      <c r="L636" t="str" cm="1">
        <f t="array" ref="L636">_xlfn.IFS(tblStudents[[#This Row],[Average Score]]&gt;=80,"High",tblStudents[[#This Row],[Average Score]]&gt;=60,"Meets Standard",TRUE,"At Risk")</f>
        <v>High</v>
      </c>
      <c r="M6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37" spans="1:13" x14ac:dyDescent="0.25">
      <c r="A637" t="s">
        <v>9</v>
      </c>
      <c r="B637" t="s">
        <v>10</v>
      </c>
      <c r="C637" t="s">
        <v>14</v>
      </c>
      <c r="D637" t="s">
        <v>3</v>
      </c>
      <c r="E637" t="s">
        <v>4</v>
      </c>
      <c r="F637">
        <v>71</v>
      </c>
      <c r="G637">
        <v>74</v>
      </c>
      <c r="H637">
        <v>64</v>
      </c>
      <c r="I637" s="1">
        <f>AVERAGE(tblStudents[[#This Row],[Math Score]],tblStudents[[#This Row],[Reading Score]],tblStudents[[#This Row],[Writing Score]])</f>
        <v>69.666666666666671</v>
      </c>
      <c r="J637">
        <f>IF(tblStudents[[#This Row],[Average Score]]&gt;=60,1,0)</f>
        <v>1</v>
      </c>
      <c r="K637" t="str">
        <f>IF(tblStudents[[#This Row],[Average Score]]&gt;=60,"Pass","At Risk")</f>
        <v>Pass</v>
      </c>
      <c r="L637" t="str" cm="1">
        <f t="array" ref="L637">_xlfn.IFS(tblStudents[[#This Row],[Average Score]]&gt;=80,"High",tblStudents[[#This Row],[Average Score]]&gt;=60,"Meets Standard",TRUE,"At Risk")</f>
        <v>Meets Standard</v>
      </c>
      <c r="M6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38" spans="1:13" x14ac:dyDescent="0.25">
      <c r="A638" t="s">
        <v>0</v>
      </c>
      <c r="B638" t="s">
        <v>1</v>
      </c>
      <c r="C638" t="s">
        <v>14</v>
      </c>
      <c r="D638" t="s">
        <v>12</v>
      </c>
      <c r="E638" t="s">
        <v>7</v>
      </c>
      <c r="F638">
        <v>67</v>
      </c>
      <c r="G638">
        <v>80</v>
      </c>
      <c r="H638">
        <v>81</v>
      </c>
      <c r="I638" s="1">
        <f>AVERAGE(tblStudents[[#This Row],[Math Score]],tblStudents[[#This Row],[Reading Score]],tblStudents[[#This Row],[Writing Score]])</f>
        <v>76</v>
      </c>
      <c r="J638">
        <f>IF(tblStudents[[#This Row],[Average Score]]&gt;=60,1,0)</f>
        <v>1</v>
      </c>
      <c r="K638" t="str">
        <f>IF(tblStudents[[#This Row],[Average Score]]&gt;=60,"Pass","At Risk")</f>
        <v>Pass</v>
      </c>
      <c r="L638" t="str" cm="1">
        <f t="array" ref="L638">_xlfn.IFS(tblStudents[[#This Row],[Average Score]]&gt;=80,"High",tblStudents[[#This Row],[Average Score]]&gt;=60,"Meets Standard",TRUE,"At Risk")</f>
        <v>Meets Standard</v>
      </c>
      <c r="M6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639" spans="1:13" x14ac:dyDescent="0.25">
      <c r="A639" t="s">
        <v>0</v>
      </c>
      <c r="B639" t="s">
        <v>13</v>
      </c>
      <c r="C639" t="s">
        <v>15</v>
      </c>
      <c r="D639" t="s">
        <v>3</v>
      </c>
      <c r="E639" t="s">
        <v>7</v>
      </c>
      <c r="F639">
        <v>80</v>
      </c>
      <c r="G639">
        <v>92</v>
      </c>
      <c r="H639">
        <v>88</v>
      </c>
      <c r="I639" s="1">
        <f>AVERAGE(tblStudents[[#This Row],[Math Score]],tblStudents[[#This Row],[Reading Score]],tblStudents[[#This Row],[Writing Score]])</f>
        <v>86.666666666666671</v>
      </c>
      <c r="J639">
        <f>IF(tblStudents[[#This Row],[Average Score]]&gt;=60,1,0)</f>
        <v>1</v>
      </c>
      <c r="K639" t="str">
        <f>IF(tblStudents[[#This Row],[Average Score]]&gt;=60,"Pass","At Risk")</f>
        <v>Pass</v>
      </c>
      <c r="L639" t="str" cm="1">
        <f t="array" ref="L639">_xlfn.IFS(tblStudents[[#This Row],[Average Score]]&gt;=80,"High",tblStudents[[#This Row],[Average Score]]&gt;=60,"Meets Standard",TRUE,"At Risk")</f>
        <v>High</v>
      </c>
      <c r="M6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40" spans="1:13" x14ac:dyDescent="0.25">
      <c r="A640" t="s">
        <v>9</v>
      </c>
      <c r="B640" t="s">
        <v>16</v>
      </c>
      <c r="C640" t="s">
        <v>6</v>
      </c>
      <c r="D640" t="s">
        <v>3</v>
      </c>
      <c r="E640" t="s">
        <v>4</v>
      </c>
      <c r="F640">
        <v>86</v>
      </c>
      <c r="G640">
        <v>76</v>
      </c>
      <c r="H640">
        <v>74</v>
      </c>
      <c r="I640" s="1">
        <f>AVERAGE(tblStudents[[#This Row],[Math Score]],tblStudents[[#This Row],[Reading Score]],tblStudents[[#This Row],[Writing Score]])</f>
        <v>78.666666666666671</v>
      </c>
      <c r="J640">
        <f>IF(tblStudents[[#This Row],[Average Score]]&gt;=60,1,0)</f>
        <v>1</v>
      </c>
      <c r="K640" t="str">
        <f>IF(tblStudents[[#This Row],[Average Score]]&gt;=60,"Pass","At Risk")</f>
        <v>Pass</v>
      </c>
      <c r="L640" t="str" cm="1">
        <f t="array" ref="L640">_xlfn.IFS(tblStudents[[#This Row],[Average Score]]&gt;=80,"High",tblStudents[[#This Row],[Average Score]]&gt;=60,"Meets Standard",TRUE,"At Risk")</f>
        <v>Meets Standard</v>
      </c>
      <c r="M6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41" spans="1:13" x14ac:dyDescent="0.25">
      <c r="A641" t="s">
        <v>0</v>
      </c>
      <c r="B641" t="s">
        <v>13</v>
      </c>
      <c r="C641" t="s">
        <v>11</v>
      </c>
      <c r="D641" t="s">
        <v>3</v>
      </c>
      <c r="E641" t="s">
        <v>4</v>
      </c>
      <c r="F641">
        <v>76</v>
      </c>
      <c r="G641">
        <v>74</v>
      </c>
      <c r="H641">
        <v>73</v>
      </c>
      <c r="I641" s="1">
        <f>AVERAGE(tblStudents[[#This Row],[Math Score]],tblStudents[[#This Row],[Reading Score]],tblStudents[[#This Row],[Writing Score]])</f>
        <v>74.333333333333329</v>
      </c>
      <c r="J641">
        <f>IF(tblStudents[[#This Row],[Average Score]]&gt;=60,1,0)</f>
        <v>1</v>
      </c>
      <c r="K641" t="str">
        <f>IF(tblStudents[[#This Row],[Average Score]]&gt;=60,"Pass","At Risk")</f>
        <v>Pass</v>
      </c>
      <c r="L641" t="str" cm="1">
        <f t="array" ref="L641">_xlfn.IFS(tblStudents[[#This Row],[Average Score]]&gt;=80,"High",tblStudents[[#This Row],[Average Score]]&gt;=60,"Meets Standard",TRUE,"At Risk")</f>
        <v>Meets Standard</v>
      </c>
      <c r="M6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642" spans="1:13" x14ac:dyDescent="0.25">
      <c r="A642" t="s">
        <v>9</v>
      </c>
      <c r="B642" t="s">
        <v>13</v>
      </c>
      <c r="C642" t="s">
        <v>14</v>
      </c>
      <c r="D642" t="s">
        <v>3</v>
      </c>
      <c r="E642" t="s">
        <v>4</v>
      </c>
      <c r="F642">
        <v>41</v>
      </c>
      <c r="G642">
        <v>52</v>
      </c>
      <c r="H642">
        <v>51</v>
      </c>
      <c r="I642" s="1">
        <f>AVERAGE(tblStudents[[#This Row],[Math Score]],tblStudents[[#This Row],[Reading Score]],tblStudents[[#This Row],[Writing Score]])</f>
        <v>48</v>
      </c>
      <c r="J642">
        <f>IF(tblStudents[[#This Row],[Average Score]]&gt;=60,1,0)</f>
        <v>0</v>
      </c>
      <c r="K642" t="str">
        <f>IF(tblStudents[[#This Row],[Average Score]]&gt;=60,"Pass","At Risk")</f>
        <v>At Risk</v>
      </c>
      <c r="L642" t="str" cm="1">
        <f t="array" ref="L642">_xlfn.IFS(tblStudents[[#This Row],[Average Score]]&gt;=80,"High",tblStudents[[#This Row],[Average Score]]&gt;=60,"Meets Standard",TRUE,"At Risk")</f>
        <v>At Risk</v>
      </c>
      <c r="M6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643" spans="1:13" x14ac:dyDescent="0.25">
      <c r="A643" t="s">
        <v>0</v>
      </c>
      <c r="B643" t="s">
        <v>13</v>
      </c>
      <c r="C643" t="s">
        <v>11</v>
      </c>
      <c r="D643" t="s">
        <v>12</v>
      </c>
      <c r="E643" t="s">
        <v>7</v>
      </c>
      <c r="F643">
        <v>74</v>
      </c>
      <c r="G643">
        <v>88</v>
      </c>
      <c r="H643">
        <v>90</v>
      </c>
      <c r="I643" s="1">
        <f>AVERAGE(tblStudents[[#This Row],[Math Score]],tblStudents[[#This Row],[Reading Score]],tblStudents[[#This Row],[Writing Score]])</f>
        <v>84</v>
      </c>
      <c r="J643">
        <f>IF(tblStudents[[#This Row],[Average Score]]&gt;=60,1,0)</f>
        <v>1</v>
      </c>
      <c r="K643" t="str">
        <f>IF(tblStudents[[#This Row],[Average Score]]&gt;=60,"Pass","At Risk")</f>
        <v>Pass</v>
      </c>
      <c r="L643" t="str" cm="1">
        <f t="array" ref="L643">_xlfn.IFS(tblStudents[[#This Row],[Average Score]]&gt;=80,"High",tblStudents[[#This Row],[Average Score]]&gt;=60,"Meets Standard",TRUE,"At Risk")</f>
        <v>High</v>
      </c>
      <c r="M6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644" spans="1:13" x14ac:dyDescent="0.25">
      <c r="A644" t="s">
        <v>0</v>
      </c>
      <c r="B644" t="s">
        <v>1</v>
      </c>
      <c r="C644" t="s">
        <v>15</v>
      </c>
      <c r="D644" t="s">
        <v>12</v>
      </c>
      <c r="E644" t="s">
        <v>4</v>
      </c>
      <c r="F644">
        <v>72</v>
      </c>
      <c r="G644">
        <v>81</v>
      </c>
      <c r="H644">
        <v>79</v>
      </c>
      <c r="I644" s="1">
        <f>AVERAGE(tblStudents[[#This Row],[Math Score]],tblStudents[[#This Row],[Reading Score]],tblStudents[[#This Row],[Writing Score]])</f>
        <v>77.333333333333329</v>
      </c>
      <c r="J644">
        <f>IF(tblStudents[[#This Row],[Average Score]]&gt;=60,1,0)</f>
        <v>1</v>
      </c>
      <c r="K644" t="str">
        <f>IF(tblStudents[[#This Row],[Average Score]]&gt;=60,"Pass","At Risk")</f>
        <v>Pass</v>
      </c>
      <c r="L644" t="str" cm="1">
        <f t="array" ref="L644">_xlfn.IFS(tblStudents[[#This Row],[Average Score]]&gt;=80,"High",tblStudents[[#This Row],[Average Score]]&gt;=60,"Meets Standard",TRUE,"At Risk")</f>
        <v>Meets Standard</v>
      </c>
      <c r="M6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45" spans="1:13" x14ac:dyDescent="0.25">
      <c r="A645" t="s">
        <v>0</v>
      </c>
      <c r="B645" t="s">
        <v>16</v>
      </c>
      <c r="C645" t="s">
        <v>14</v>
      </c>
      <c r="D645" t="s">
        <v>3</v>
      </c>
      <c r="E645" t="s">
        <v>7</v>
      </c>
      <c r="F645">
        <v>74</v>
      </c>
      <c r="G645">
        <v>79</v>
      </c>
      <c r="H645">
        <v>80</v>
      </c>
      <c r="I645" s="1">
        <f>AVERAGE(tblStudents[[#This Row],[Math Score]],tblStudents[[#This Row],[Reading Score]],tblStudents[[#This Row],[Writing Score]])</f>
        <v>77.666666666666671</v>
      </c>
      <c r="J645">
        <f>IF(tblStudents[[#This Row],[Average Score]]&gt;=60,1,0)</f>
        <v>1</v>
      </c>
      <c r="K645" t="str">
        <f>IF(tblStudents[[#This Row],[Average Score]]&gt;=60,"Pass","At Risk")</f>
        <v>Pass</v>
      </c>
      <c r="L645" t="str" cm="1">
        <f t="array" ref="L645">_xlfn.IFS(tblStudents[[#This Row],[Average Score]]&gt;=80,"High",tblStudents[[#This Row],[Average Score]]&gt;=60,"Meets Standard",TRUE,"At Risk")</f>
        <v>Meets Standard</v>
      </c>
      <c r="M6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46" spans="1:13" x14ac:dyDescent="0.25">
      <c r="A646" t="s">
        <v>9</v>
      </c>
      <c r="B646" t="s">
        <v>1</v>
      </c>
      <c r="C646" t="s">
        <v>14</v>
      </c>
      <c r="D646" t="s">
        <v>3</v>
      </c>
      <c r="E646" t="s">
        <v>4</v>
      </c>
      <c r="F646">
        <v>70</v>
      </c>
      <c r="G646">
        <v>65</v>
      </c>
      <c r="H646">
        <v>60</v>
      </c>
      <c r="I646" s="1">
        <f>AVERAGE(tblStudents[[#This Row],[Math Score]],tblStudents[[#This Row],[Reading Score]],tblStudents[[#This Row],[Writing Score]])</f>
        <v>65</v>
      </c>
      <c r="J646">
        <f>IF(tblStudents[[#This Row],[Average Score]]&gt;=60,1,0)</f>
        <v>1</v>
      </c>
      <c r="K646" t="str">
        <f>IF(tblStudents[[#This Row],[Average Score]]&gt;=60,"Pass","At Risk")</f>
        <v>Pass</v>
      </c>
      <c r="L646" t="str" cm="1">
        <f t="array" ref="L646">_xlfn.IFS(tblStudents[[#This Row],[Average Score]]&gt;=80,"High",tblStudents[[#This Row],[Average Score]]&gt;=60,"Meets Standard",TRUE,"At Risk")</f>
        <v>Meets Standard</v>
      </c>
      <c r="M6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47" spans="1:13" x14ac:dyDescent="0.25">
      <c r="A647" t="s">
        <v>0</v>
      </c>
      <c r="B647" t="s">
        <v>1</v>
      </c>
      <c r="C647" t="s">
        <v>2</v>
      </c>
      <c r="D647" t="s">
        <v>3</v>
      </c>
      <c r="E647" t="s">
        <v>7</v>
      </c>
      <c r="F647">
        <v>65</v>
      </c>
      <c r="G647">
        <v>81</v>
      </c>
      <c r="H647">
        <v>81</v>
      </c>
      <c r="I647" s="1">
        <f>AVERAGE(tblStudents[[#This Row],[Math Score]],tblStudents[[#This Row],[Reading Score]],tblStudents[[#This Row],[Writing Score]])</f>
        <v>75.666666666666671</v>
      </c>
      <c r="J647">
        <f>IF(tblStudents[[#This Row],[Average Score]]&gt;=60,1,0)</f>
        <v>1</v>
      </c>
      <c r="K647" t="str">
        <f>IF(tblStudents[[#This Row],[Average Score]]&gt;=60,"Pass","At Risk")</f>
        <v>Pass</v>
      </c>
      <c r="L647" t="str" cm="1">
        <f t="array" ref="L647">_xlfn.IFS(tblStudents[[#This Row],[Average Score]]&gt;=80,"High",tblStudents[[#This Row],[Average Score]]&gt;=60,"Meets Standard",TRUE,"At Risk")</f>
        <v>Meets Standard</v>
      </c>
      <c r="M6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648" spans="1:13" x14ac:dyDescent="0.25">
      <c r="A648" t="s">
        <v>0</v>
      </c>
      <c r="B648" t="s">
        <v>13</v>
      </c>
      <c r="C648" t="s">
        <v>11</v>
      </c>
      <c r="D648" t="s">
        <v>3</v>
      </c>
      <c r="E648" t="s">
        <v>4</v>
      </c>
      <c r="F648">
        <v>59</v>
      </c>
      <c r="G648">
        <v>70</v>
      </c>
      <c r="H648">
        <v>65</v>
      </c>
      <c r="I648" s="1">
        <f>AVERAGE(tblStudents[[#This Row],[Math Score]],tblStudents[[#This Row],[Reading Score]],tblStudents[[#This Row],[Writing Score]])</f>
        <v>64.666666666666671</v>
      </c>
      <c r="J648">
        <f>IF(tblStudents[[#This Row],[Average Score]]&gt;=60,1,0)</f>
        <v>1</v>
      </c>
      <c r="K648" t="str">
        <f>IF(tblStudents[[#This Row],[Average Score]]&gt;=60,"Pass","At Risk")</f>
        <v>Pass</v>
      </c>
      <c r="L648" t="str" cm="1">
        <f t="array" ref="L648">_xlfn.IFS(tblStudents[[#This Row],[Average Score]]&gt;=80,"High",tblStudents[[#This Row],[Average Score]]&gt;=60,"Meets Standard",TRUE,"At Risk")</f>
        <v>Meets Standard</v>
      </c>
      <c r="M6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649" spans="1:13" x14ac:dyDescent="0.25">
      <c r="A649" t="s">
        <v>0</v>
      </c>
      <c r="B649" t="s">
        <v>16</v>
      </c>
      <c r="C649" t="s">
        <v>14</v>
      </c>
      <c r="D649" t="s">
        <v>12</v>
      </c>
      <c r="E649" t="s">
        <v>4</v>
      </c>
      <c r="F649">
        <v>64</v>
      </c>
      <c r="G649">
        <v>62</v>
      </c>
      <c r="H649">
        <v>68</v>
      </c>
      <c r="I649" s="1">
        <f>AVERAGE(tblStudents[[#This Row],[Math Score]],tblStudents[[#This Row],[Reading Score]],tblStudents[[#This Row],[Writing Score]])</f>
        <v>64.666666666666671</v>
      </c>
      <c r="J649">
        <f>IF(tblStudents[[#This Row],[Average Score]]&gt;=60,1,0)</f>
        <v>1</v>
      </c>
      <c r="K649" t="str">
        <f>IF(tblStudents[[#This Row],[Average Score]]&gt;=60,"Pass","At Risk")</f>
        <v>Pass</v>
      </c>
      <c r="L649" t="str" cm="1">
        <f t="array" ref="L649">_xlfn.IFS(tblStudents[[#This Row],[Average Score]]&gt;=80,"High",tblStudents[[#This Row],[Average Score]]&gt;=60,"Meets Standard",TRUE,"At Risk")</f>
        <v>Meets Standard</v>
      </c>
      <c r="M6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50" spans="1:13" x14ac:dyDescent="0.25">
      <c r="A650" t="s">
        <v>0</v>
      </c>
      <c r="B650" t="s">
        <v>1</v>
      </c>
      <c r="C650" t="s">
        <v>14</v>
      </c>
      <c r="D650" t="s">
        <v>3</v>
      </c>
      <c r="E650" t="s">
        <v>4</v>
      </c>
      <c r="F650">
        <v>50</v>
      </c>
      <c r="G650">
        <v>53</v>
      </c>
      <c r="H650">
        <v>55</v>
      </c>
      <c r="I650" s="1">
        <f>AVERAGE(tblStudents[[#This Row],[Math Score]],tblStudents[[#This Row],[Reading Score]],tblStudents[[#This Row],[Writing Score]])</f>
        <v>52.666666666666664</v>
      </c>
      <c r="J650">
        <f>IF(tblStudents[[#This Row],[Average Score]]&gt;=60,1,0)</f>
        <v>0</v>
      </c>
      <c r="K650" t="str">
        <f>IF(tblStudents[[#This Row],[Average Score]]&gt;=60,"Pass","At Risk")</f>
        <v>At Risk</v>
      </c>
      <c r="L650" t="str" cm="1">
        <f t="array" ref="L650">_xlfn.IFS(tblStudents[[#This Row],[Average Score]]&gt;=80,"High",tblStudents[[#This Row],[Average Score]]&gt;=60,"Meets Standard",TRUE,"At Risk")</f>
        <v>At Risk</v>
      </c>
      <c r="M6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51" spans="1:13" x14ac:dyDescent="0.25">
      <c r="A651" t="s">
        <v>0</v>
      </c>
      <c r="B651" t="s">
        <v>13</v>
      </c>
      <c r="C651" t="s">
        <v>6</v>
      </c>
      <c r="D651" t="s">
        <v>3</v>
      </c>
      <c r="E651" t="s">
        <v>7</v>
      </c>
      <c r="F651">
        <v>69</v>
      </c>
      <c r="G651">
        <v>79</v>
      </c>
      <c r="H651">
        <v>81</v>
      </c>
      <c r="I651" s="1">
        <f>AVERAGE(tblStudents[[#This Row],[Math Score]],tblStudents[[#This Row],[Reading Score]],tblStudents[[#This Row],[Writing Score]])</f>
        <v>76.333333333333329</v>
      </c>
      <c r="J651">
        <f>IF(tblStudents[[#This Row],[Average Score]]&gt;=60,1,0)</f>
        <v>1</v>
      </c>
      <c r="K651" t="str">
        <f>IF(tblStudents[[#This Row],[Average Score]]&gt;=60,"Pass","At Risk")</f>
        <v>Pass</v>
      </c>
      <c r="L651" t="str" cm="1">
        <f t="array" ref="L651">_xlfn.IFS(tblStudents[[#This Row],[Average Score]]&gt;=80,"High",tblStudents[[#This Row],[Average Score]]&gt;=60,"Meets Standard",TRUE,"At Risk")</f>
        <v>Meets Standard</v>
      </c>
      <c r="M6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52" spans="1:13" x14ac:dyDescent="0.25">
      <c r="A652" t="s">
        <v>9</v>
      </c>
      <c r="B652" t="s">
        <v>5</v>
      </c>
      <c r="C652" t="s">
        <v>15</v>
      </c>
      <c r="D652" t="s">
        <v>12</v>
      </c>
      <c r="E652" t="s">
        <v>7</v>
      </c>
      <c r="F652">
        <v>51</v>
      </c>
      <c r="G652">
        <v>56</v>
      </c>
      <c r="H652">
        <v>53</v>
      </c>
      <c r="I652" s="1">
        <f>AVERAGE(tblStudents[[#This Row],[Math Score]],tblStudents[[#This Row],[Reading Score]],tblStudents[[#This Row],[Writing Score]])</f>
        <v>53.333333333333336</v>
      </c>
      <c r="J652">
        <f>IF(tblStudents[[#This Row],[Average Score]]&gt;=60,1,0)</f>
        <v>0</v>
      </c>
      <c r="K652" t="str">
        <f>IF(tblStudents[[#This Row],[Average Score]]&gt;=60,"Pass","At Risk")</f>
        <v>At Risk</v>
      </c>
      <c r="L652" t="str" cm="1">
        <f t="array" ref="L652">_xlfn.IFS(tblStudents[[#This Row],[Average Score]]&gt;=80,"High",tblStudents[[#This Row],[Average Score]]&gt;=60,"Meets Standard",TRUE,"At Risk")</f>
        <v>At Risk</v>
      </c>
      <c r="M6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53" spans="1:13" x14ac:dyDescent="0.25">
      <c r="A653" t="s">
        <v>0</v>
      </c>
      <c r="B653" t="s">
        <v>10</v>
      </c>
      <c r="C653" t="s">
        <v>14</v>
      </c>
      <c r="D653" t="s">
        <v>3</v>
      </c>
      <c r="E653" t="s">
        <v>7</v>
      </c>
      <c r="F653">
        <v>68</v>
      </c>
      <c r="G653">
        <v>80</v>
      </c>
      <c r="H653">
        <v>76</v>
      </c>
      <c r="I653" s="1">
        <f>AVERAGE(tblStudents[[#This Row],[Math Score]],tblStudents[[#This Row],[Reading Score]],tblStudents[[#This Row],[Writing Score]])</f>
        <v>74.666666666666671</v>
      </c>
      <c r="J653">
        <f>IF(tblStudents[[#This Row],[Average Score]]&gt;=60,1,0)</f>
        <v>1</v>
      </c>
      <c r="K653" t="str">
        <f>IF(tblStudents[[#This Row],[Average Score]]&gt;=60,"Pass","At Risk")</f>
        <v>Pass</v>
      </c>
      <c r="L653" t="str" cm="1">
        <f t="array" ref="L653">_xlfn.IFS(tblStudents[[#This Row],[Average Score]]&gt;=80,"High",tblStudents[[#This Row],[Average Score]]&gt;=60,"Meets Standard",TRUE,"At Risk")</f>
        <v>Meets Standard</v>
      </c>
      <c r="M6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54" spans="1:13" x14ac:dyDescent="0.25">
      <c r="A654" t="s">
        <v>0</v>
      </c>
      <c r="B654" t="s">
        <v>13</v>
      </c>
      <c r="C654" t="s">
        <v>6</v>
      </c>
      <c r="D654" t="s">
        <v>3</v>
      </c>
      <c r="E654" t="s">
        <v>7</v>
      </c>
      <c r="F654">
        <v>85</v>
      </c>
      <c r="G654">
        <v>86</v>
      </c>
      <c r="H654">
        <v>98</v>
      </c>
      <c r="I654" s="1">
        <f>AVERAGE(tblStudents[[#This Row],[Math Score]],tblStudents[[#This Row],[Reading Score]],tblStudents[[#This Row],[Writing Score]])</f>
        <v>89.666666666666671</v>
      </c>
      <c r="J654">
        <f>IF(tblStudents[[#This Row],[Average Score]]&gt;=60,1,0)</f>
        <v>1</v>
      </c>
      <c r="K654" t="str">
        <f>IF(tblStudents[[#This Row],[Average Score]]&gt;=60,"Pass","At Risk")</f>
        <v>Pass</v>
      </c>
      <c r="L654" t="str" cm="1">
        <f t="array" ref="L654">_xlfn.IFS(tblStudents[[#This Row],[Average Score]]&gt;=80,"High",tblStudents[[#This Row],[Average Score]]&gt;=60,"Meets Standard",TRUE,"At Risk")</f>
        <v>High</v>
      </c>
      <c r="M6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655" spans="1:13" x14ac:dyDescent="0.25">
      <c r="A655" t="s">
        <v>0</v>
      </c>
      <c r="B655" t="s">
        <v>10</v>
      </c>
      <c r="C655" t="s">
        <v>11</v>
      </c>
      <c r="D655" t="s">
        <v>3</v>
      </c>
      <c r="E655" t="s">
        <v>7</v>
      </c>
      <c r="F655">
        <v>65</v>
      </c>
      <c r="G655">
        <v>70</v>
      </c>
      <c r="H655">
        <v>74</v>
      </c>
      <c r="I655" s="1">
        <f>AVERAGE(tblStudents[[#This Row],[Math Score]],tblStudents[[#This Row],[Reading Score]],tblStudents[[#This Row],[Writing Score]])</f>
        <v>69.666666666666671</v>
      </c>
      <c r="J655">
        <f>IF(tblStudents[[#This Row],[Average Score]]&gt;=60,1,0)</f>
        <v>1</v>
      </c>
      <c r="K655" t="str">
        <f>IF(tblStudents[[#This Row],[Average Score]]&gt;=60,"Pass","At Risk")</f>
        <v>Pass</v>
      </c>
      <c r="L655" t="str" cm="1">
        <f t="array" ref="L655">_xlfn.IFS(tblStudents[[#This Row],[Average Score]]&gt;=80,"High",tblStudents[[#This Row],[Average Score]]&gt;=60,"Meets Standard",TRUE,"At Risk")</f>
        <v>Meets Standard</v>
      </c>
      <c r="M6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56" spans="1:13" x14ac:dyDescent="0.25">
      <c r="A656" t="s">
        <v>0</v>
      </c>
      <c r="B656" t="s">
        <v>1</v>
      </c>
      <c r="C656" t="s">
        <v>15</v>
      </c>
      <c r="D656" t="s">
        <v>3</v>
      </c>
      <c r="E656" t="s">
        <v>4</v>
      </c>
      <c r="F656">
        <v>73</v>
      </c>
      <c r="G656">
        <v>79</v>
      </c>
      <c r="H656">
        <v>79</v>
      </c>
      <c r="I656" s="1">
        <f>AVERAGE(tblStudents[[#This Row],[Math Score]],tblStudents[[#This Row],[Reading Score]],tblStudents[[#This Row],[Writing Score]])</f>
        <v>77</v>
      </c>
      <c r="J656">
        <f>IF(tblStudents[[#This Row],[Average Score]]&gt;=60,1,0)</f>
        <v>1</v>
      </c>
      <c r="K656" t="str">
        <f>IF(tblStudents[[#This Row],[Average Score]]&gt;=60,"Pass","At Risk")</f>
        <v>Pass</v>
      </c>
      <c r="L656" t="str" cm="1">
        <f t="array" ref="L656">_xlfn.IFS(tblStudents[[#This Row],[Average Score]]&gt;=80,"High",tblStudents[[#This Row],[Average Score]]&gt;=60,"Meets Standard",TRUE,"At Risk")</f>
        <v>Meets Standard</v>
      </c>
      <c r="M6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57" spans="1:13" x14ac:dyDescent="0.25">
      <c r="A657" t="s">
        <v>0</v>
      </c>
      <c r="B657" t="s">
        <v>1</v>
      </c>
      <c r="C657" t="s">
        <v>6</v>
      </c>
      <c r="D657" t="s">
        <v>3</v>
      </c>
      <c r="E657" t="s">
        <v>4</v>
      </c>
      <c r="F657">
        <v>62</v>
      </c>
      <c r="G657">
        <v>67</v>
      </c>
      <c r="H657">
        <v>67</v>
      </c>
      <c r="I657" s="1">
        <f>AVERAGE(tblStudents[[#This Row],[Math Score]],tblStudents[[#This Row],[Reading Score]],tblStudents[[#This Row],[Writing Score]])</f>
        <v>65.333333333333329</v>
      </c>
      <c r="J657">
        <f>IF(tblStudents[[#This Row],[Average Score]]&gt;=60,1,0)</f>
        <v>1</v>
      </c>
      <c r="K657" t="str">
        <f>IF(tblStudents[[#This Row],[Average Score]]&gt;=60,"Pass","At Risk")</f>
        <v>Pass</v>
      </c>
      <c r="L657" t="str" cm="1">
        <f t="array" ref="L657">_xlfn.IFS(tblStudents[[#This Row],[Average Score]]&gt;=80,"High",tblStudents[[#This Row],[Average Score]]&gt;=60,"Meets Standard",TRUE,"At Risk")</f>
        <v>Meets Standard</v>
      </c>
      <c r="M6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58" spans="1:13" x14ac:dyDescent="0.25">
      <c r="A658" t="s">
        <v>9</v>
      </c>
      <c r="B658" t="s">
        <v>5</v>
      </c>
      <c r="C658" t="s">
        <v>11</v>
      </c>
      <c r="D658" t="s">
        <v>12</v>
      </c>
      <c r="E658" t="s">
        <v>4</v>
      </c>
      <c r="F658">
        <v>77</v>
      </c>
      <c r="G658">
        <v>67</v>
      </c>
      <c r="H658">
        <v>64</v>
      </c>
      <c r="I658" s="1">
        <f>AVERAGE(tblStudents[[#This Row],[Math Score]],tblStudents[[#This Row],[Reading Score]],tblStudents[[#This Row],[Writing Score]])</f>
        <v>69.333333333333329</v>
      </c>
      <c r="J658">
        <f>IF(tblStudents[[#This Row],[Average Score]]&gt;=60,1,0)</f>
        <v>1</v>
      </c>
      <c r="K658" t="str">
        <f>IF(tblStudents[[#This Row],[Average Score]]&gt;=60,"Pass","At Risk")</f>
        <v>Pass</v>
      </c>
      <c r="L658" t="str" cm="1">
        <f t="array" ref="L658">_xlfn.IFS(tblStudents[[#This Row],[Average Score]]&gt;=80,"High",tblStudents[[#This Row],[Average Score]]&gt;=60,"Meets Standard",TRUE,"At Risk")</f>
        <v>Meets Standard</v>
      </c>
      <c r="M6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659" spans="1:13" x14ac:dyDescent="0.25">
      <c r="A659" t="s">
        <v>9</v>
      </c>
      <c r="B659" t="s">
        <v>13</v>
      </c>
      <c r="C659" t="s">
        <v>15</v>
      </c>
      <c r="D659" t="s">
        <v>3</v>
      </c>
      <c r="E659" t="s">
        <v>4</v>
      </c>
      <c r="F659">
        <v>69</v>
      </c>
      <c r="G659">
        <v>66</v>
      </c>
      <c r="H659">
        <v>61</v>
      </c>
      <c r="I659" s="1">
        <f>AVERAGE(tblStudents[[#This Row],[Math Score]],tblStudents[[#This Row],[Reading Score]],tblStudents[[#This Row],[Writing Score]])</f>
        <v>65.333333333333329</v>
      </c>
      <c r="J659">
        <f>IF(tblStudents[[#This Row],[Average Score]]&gt;=60,1,0)</f>
        <v>1</v>
      </c>
      <c r="K659" t="str">
        <f>IF(tblStudents[[#This Row],[Average Score]]&gt;=60,"Pass","At Risk")</f>
        <v>Pass</v>
      </c>
      <c r="L659" t="str" cm="1">
        <f t="array" ref="L659">_xlfn.IFS(tblStudents[[#This Row],[Average Score]]&gt;=80,"High",tblStudents[[#This Row],[Average Score]]&gt;=60,"Meets Standard",TRUE,"At Risk")</f>
        <v>Meets Standard</v>
      </c>
      <c r="M6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60" spans="1:13" x14ac:dyDescent="0.25">
      <c r="A660" t="s">
        <v>0</v>
      </c>
      <c r="B660" t="s">
        <v>13</v>
      </c>
      <c r="C660" t="s">
        <v>11</v>
      </c>
      <c r="D660" t="s">
        <v>12</v>
      </c>
      <c r="E660" t="s">
        <v>4</v>
      </c>
      <c r="F660">
        <v>43</v>
      </c>
      <c r="G660">
        <v>60</v>
      </c>
      <c r="H660">
        <v>58</v>
      </c>
      <c r="I660" s="1">
        <f>AVERAGE(tblStudents[[#This Row],[Math Score]],tblStudents[[#This Row],[Reading Score]],tblStudents[[#This Row],[Writing Score]])</f>
        <v>53.666666666666664</v>
      </c>
      <c r="J660">
        <f>IF(tblStudents[[#This Row],[Average Score]]&gt;=60,1,0)</f>
        <v>0</v>
      </c>
      <c r="K660" t="str">
        <f>IF(tblStudents[[#This Row],[Average Score]]&gt;=60,"Pass","At Risk")</f>
        <v>At Risk</v>
      </c>
      <c r="L660" t="str" cm="1">
        <f t="array" ref="L660">_xlfn.IFS(tblStudents[[#This Row],[Average Score]]&gt;=80,"High",tblStudents[[#This Row],[Average Score]]&gt;=60,"Meets Standard",TRUE,"At Risk")</f>
        <v>At Risk</v>
      </c>
      <c r="M6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661" spans="1:13" x14ac:dyDescent="0.25">
      <c r="A661" t="s">
        <v>9</v>
      </c>
      <c r="B661" t="s">
        <v>13</v>
      </c>
      <c r="C661" t="s">
        <v>11</v>
      </c>
      <c r="D661" t="s">
        <v>3</v>
      </c>
      <c r="E661" t="s">
        <v>4</v>
      </c>
      <c r="F661">
        <v>90</v>
      </c>
      <c r="G661">
        <v>87</v>
      </c>
      <c r="H661">
        <v>85</v>
      </c>
      <c r="I661" s="1">
        <f>AVERAGE(tblStudents[[#This Row],[Math Score]],tblStudents[[#This Row],[Reading Score]],tblStudents[[#This Row],[Writing Score]])</f>
        <v>87.333333333333329</v>
      </c>
      <c r="J661">
        <f>IF(tblStudents[[#This Row],[Average Score]]&gt;=60,1,0)</f>
        <v>1</v>
      </c>
      <c r="K661" t="str">
        <f>IF(tblStudents[[#This Row],[Average Score]]&gt;=60,"Pass","At Risk")</f>
        <v>Pass</v>
      </c>
      <c r="L661" t="str" cm="1">
        <f t="array" ref="L661">_xlfn.IFS(tblStudents[[#This Row],[Average Score]]&gt;=80,"High",tblStudents[[#This Row],[Average Score]]&gt;=60,"Meets Standard",TRUE,"At Risk")</f>
        <v>High</v>
      </c>
      <c r="M6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62" spans="1:13" x14ac:dyDescent="0.25">
      <c r="A662" t="s">
        <v>9</v>
      </c>
      <c r="B662" t="s">
        <v>5</v>
      </c>
      <c r="C662" t="s">
        <v>6</v>
      </c>
      <c r="D662" t="s">
        <v>12</v>
      </c>
      <c r="E662" t="s">
        <v>4</v>
      </c>
      <c r="F662">
        <v>74</v>
      </c>
      <c r="G662">
        <v>77</v>
      </c>
      <c r="H662">
        <v>73</v>
      </c>
      <c r="I662" s="1">
        <f>AVERAGE(tblStudents[[#This Row],[Math Score]],tblStudents[[#This Row],[Reading Score]],tblStudents[[#This Row],[Writing Score]])</f>
        <v>74.666666666666671</v>
      </c>
      <c r="J662">
        <f>IF(tblStudents[[#This Row],[Average Score]]&gt;=60,1,0)</f>
        <v>1</v>
      </c>
      <c r="K662" t="str">
        <f>IF(tblStudents[[#This Row],[Average Score]]&gt;=60,"Pass","At Risk")</f>
        <v>Pass</v>
      </c>
      <c r="L662" t="str" cm="1">
        <f t="array" ref="L662">_xlfn.IFS(tblStudents[[#This Row],[Average Score]]&gt;=80,"High",tblStudents[[#This Row],[Average Score]]&gt;=60,"Meets Standard",TRUE,"At Risk")</f>
        <v>Meets Standard</v>
      </c>
      <c r="M6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63" spans="1:13" x14ac:dyDescent="0.25">
      <c r="A663" t="s">
        <v>9</v>
      </c>
      <c r="B663" t="s">
        <v>5</v>
      </c>
      <c r="C663" t="s">
        <v>15</v>
      </c>
      <c r="D663" t="s">
        <v>3</v>
      </c>
      <c r="E663" t="s">
        <v>4</v>
      </c>
      <c r="F663">
        <v>73</v>
      </c>
      <c r="G663">
        <v>66</v>
      </c>
      <c r="H663">
        <v>63</v>
      </c>
      <c r="I663" s="1">
        <f>AVERAGE(tblStudents[[#This Row],[Math Score]],tblStudents[[#This Row],[Reading Score]],tblStudents[[#This Row],[Writing Score]])</f>
        <v>67.333333333333329</v>
      </c>
      <c r="J663">
        <f>IF(tblStudents[[#This Row],[Average Score]]&gt;=60,1,0)</f>
        <v>1</v>
      </c>
      <c r="K663" t="str">
        <f>IF(tblStudents[[#This Row],[Average Score]]&gt;=60,"Pass","At Risk")</f>
        <v>Pass</v>
      </c>
      <c r="L663" t="str" cm="1">
        <f t="array" ref="L663">_xlfn.IFS(tblStudents[[#This Row],[Average Score]]&gt;=80,"High",tblStudents[[#This Row],[Average Score]]&gt;=60,"Meets Standard",TRUE,"At Risk")</f>
        <v>Meets Standard</v>
      </c>
      <c r="M6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64" spans="1:13" x14ac:dyDescent="0.25">
      <c r="A664" t="s">
        <v>0</v>
      </c>
      <c r="B664" t="s">
        <v>13</v>
      </c>
      <c r="C664" t="s">
        <v>6</v>
      </c>
      <c r="D664" t="s">
        <v>12</v>
      </c>
      <c r="E664" t="s">
        <v>4</v>
      </c>
      <c r="F664">
        <v>55</v>
      </c>
      <c r="G664">
        <v>71</v>
      </c>
      <c r="H664">
        <v>69</v>
      </c>
      <c r="I664" s="1">
        <f>AVERAGE(tblStudents[[#This Row],[Math Score]],tblStudents[[#This Row],[Reading Score]],tblStudents[[#This Row],[Writing Score]])</f>
        <v>65</v>
      </c>
      <c r="J664">
        <f>IF(tblStudents[[#This Row],[Average Score]]&gt;=60,1,0)</f>
        <v>1</v>
      </c>
      <c r="K664" t="str">
        <f>IF(tblStudents[[#This Row],[Average Score]]&gt;=60,"Pass","At Risk")</f>
        <v>Pass</v>
      </c>
      <c r="L664" t="str" cm="1">
        <f t="array" ref="L664">_xlfn.IFS(tblStudents[[#This Row],[Average Score]]&gt;=80,"High",tblStudents[[#This Row],[Average Score]]&gt;=60,"Meets Standard",TRUE,"At Risk")</f>
        <v>Meets Standard</v>
      </c>
      <c r="M6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665" spans="1:13" x14ac:dyDescent="0.25">
      <c r="A665" t="s">
        <v>0</v>
      </c>
      <c r="B665" t="s">
        <v>5</v>
      </c>
      <c r="C665" t="s">
        <v>14</v>
      </c>
      <c r="D665" t="s">
        <v>3</v>
      </c>
      <c r="E665" t="s">
        <v>4</v>
      </c>
      <c r="F665">
        <v>65</v>
      </c>
      <c r="G665">
        <v>69</v>
      </c>
      <c r="H665">
        <v>67</v>
      </c>
      <c r="I665" s="1">
        <f>AVERAGE(tblStudents[[#This Row],[Math Score]],tblStudents[[#This Row],[Reading Score]],tblStudents[[#This Row],[Writing Score]])</f>
        <v>67</v>
      </c>
      <c r="J665">
        <f>IF(tblStudents[[#This Row],[Average Score]]&gt;=60,1,0)</f>
        <v>1</v>
      </c>
      <c r="K665" t="str">
        <f>IF(tblStudents[[#This Row],[Average Score]]&gt;=60,"Pass","At Risk")</f>
        <v>Pass</v>
      </c>
      <c r="L665" t="str" cm="1">
        <f t="array" ref="L665">_xlfn.IFS(tblStudents[[#This Row],[Average Score]]&gt;=80,"High",tblStudents[[#This Row],[Average Score]]&gt;=60,"Meets Standard",TRUE,"At Risk")</f>
        <v>Meets Standard</v>
      </c>
      <c r="M6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66" spans="1:13" x14ac:dyDescent="0.25">
      <c r="A666" t="s">
        <v>9</v>
      </c>
      <c r="B666" t="s">
        <v>13</v>
      </c>
      <c r="C666" t="s">
        <v>11</v>
      </c>
      <c r="D666" t="s">
        <v>3</v>
      </c>
      <c r="E666" t="s">
        <v>4</v>
      </c>
      <c r="F666">
        <v>80</v>
      </c>
      <c r="G666">
        <v>63</v>
      </c>
      <c r="H666">
        <v>63</v>
      </c>
      <c r="I666" s="1">
        <f>AVERAGE(tblStudents[[#This Row],[Math Score]],tblStudents[[#This Row],[Reading Score]],tblStudents[[#This Row],[Writing Score]])</f>
        <v>68.666666666666671</v>
      </c>
      <c r="J666">
        <f>IF(tblStudents[[#This Row],[Average Score]]&gt;=60,1,0)</f>
        <v>1</v>
      </c>
      <c r="K666" t="str">
        <f>IF(tblStudents[[#This Row],[Average Score]]&gt;=60,"Pass","At Risk")</f>
        <v>Pass</v>
      </c>
      <c r="L666" t="str" cm="1">
        <f t="array" ref="L666">_xlfn.IFS(tblStudents[[#This Row],[Average Score]]&gt;=80,"High",tblStudents[[#This Row],[Average Score]]&gt;=60,"Meets Standard",TRUE,"At Risk")</f>
        <v>Meets Standard</v>
      </c>
      <c r="M6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667" spans="1:13" x14ac:dyDescent="0.25">
      <c r="A667" t="s">
        <v>0</v>
      </c>
      <c r="B667" t="s">
        <v>5</v>
      </c>
      <c r="C667" t="s">
        <v>15</v>
      </c>
      <c r="D667" t="s">
        <v>12</v>
      </c>
      <c r="E667" t="s">
        <v>7</v>
      </c>
      <c r="F667">
        <v>50</v>
      </c>
      <c r="G667">
        <v>60</v>
      </c>
      <c r="H667">
        <v>60</v>
      </c>
      <c r="I667" s="1">
        <f>AVERAGE(tblStudents[[#This Row],[Math Score]],tblStudents[[#This Row],[Reading Score]],tblStudents[[#This Row],[Writing Score]])</f>
        <v>56.666666666666664</v>
      </c>
      <c r="J667">
        <f>IF(tblStudents[[#This Row],[Average Score]]&gt;=60,1,0)</f>
        <v>0</v>
      </c>
      <c r="K667" t="str">
        <f>IF(tblStudents[[#This Row],[Average Score]]&gt;=60,"Pass","At Risk")</f>
        <v>At Risk</v>
      </c>
      <c r="L667" t="str" cm="1">
        <f t="array" ref="L667">_xlfn.IFS(tblStudents[[#This Row],[Average Score]]&gt;=80,"High",tblStudents[[#This Row],[Average Score]]&gt;=60,"Meets Standard",TRUE,"At Risk")</f>
        <v>At Risk</v>
      </c>
      <c r="M6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68" spans="1:13" x14ac:dyDescent="0.25">
      <c r="A668" t="s">
        <v>0</v>
      </c>
      <c r="B668" t="s">
        <v>5</v>
      </c>
      <c r="C668" t="s">
        <v>6</v>
      </c>
      <c r="D668" t="s">
        <v>12</v>
      </c>
      <c r="E668" t="s">
        <v>7</v>
      </c>
      <c r="F668">
        <v>63</v>
      </c>
      <c r="G668">
        <v>73</v>
      </c>
      <c r="H668">
        <v>71</v>
      </c>
      <c r="I668" s="1">
        <f>AVERAGE(tblStudents[[#This Row],[Math Score]],tblStudents[[#This Row],[Reading Score]],tblStudents[[#This Row],[Writing Score]])</f>
        <v>69</v>
      </c>
      <c r="J668">
        <f>IF(tblStudents[[#This Row],[Average Score]]&gt;=60,1,0)</f>
        <v>1</v>
      </c>
      <c r="K668" t="str">
        <f>IF(tblStudents[[#This Row],[Average Score]]&gt;=60,"Pass","At Risk")</f>
        <v>Pass</v>
      </c>
      <c r="L668" t="str" cm="1">
        <f t="array" ref="L668">_xlfn.IFS(tblStudents[[#This Row],[Average Score]]&gt;=80,"High",tblStudents[[#This Row],[Average Score]]&gt;=60,"Meets Standard",TRUE,"At Risk")</f>
        <v>Meets Standard</v>
      </c>
      <c r="M6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69" spans="1:13" x14ac:dyDescent="0.25">
      <c r="A669" t="s">
        <v>0</v>
      </c>
      <c r="B669" t="s">
        <v>1</v>
      </c>
      <c r="C669" t="s">
        <v>2</v>
      </c>
      <c r="D669" t="s">
        <v>12</v>
      </c>
      <c r="E669" t="s">
        <v>4</v>
      </c>
      <c r="F669">
        <v>77</v>
      </c>
      <c r="G669">
        <v>85</v>
      </c>
      <c r="H669">
        <v>87</v>
      </c>
      <c r="I669" s="1">
        <f>AVERAGE(tblStudents[[#This Row],[Math Score]],tblStudents[[#This Row],[Reading Score]],tblStudents[[#This Row],[Writing Score]])</f>
        <v>83</v>
      </c>
      <c r="J669">
        <f>IF(tblStudents[[#This Row],[Average Score]]&gt;=60,1,0)</f>
        <v>1</v>
      </c>
      <c r="K669" t="str">
        <f>IF(tblStudents[[#This Row],[Average Score]]&gt;=60,"Pass","At Risk")</f>
        <v>Pass</v>
      </c>
      <c r="L669" t="str" cm="1">
        <f t="array" ref="L669">_xlfn.IFS(tblStudents[[#This Row],[Average Score]]&gt;=80,"High",tblStudents[[#This Row],[Average Score]]&gt;=60,"Meets Standard",TRUE,"At Risk")</f>
        <v>High</v>
      </c>
      <c r="M6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70" spans="1:13" x14ac:dyDescent="0.25">
      <c r="A670" t="s">
        <v>9</v>
      </c>
      <c r="B670" t="s">
        <v>5</v>
      </c>
      <c r="C670" t="s">
        <v>6</v>
      </c>
      <c r="D670" t="s">
        <v>3</v>
      </c>
      <c r="E670" t="s">
        <v>4</v>
      </c>
      <c r="F670">
        <v>73</v>
      </c>
      <c r="G670">
        <v>74</v>
      </c>
      <c r="H670">
        <v>61</v>
      </c>
      <c r="I670" s="1">
        <f>AVERAGE(tblStudents[[#This Row],[Math Score]],tblStudents[[#This Row],[Reading Score]],tblStudents[[#This Row],[Writing Score]])</f>
        <v>69.333333333333329</v>
      </c>
      <c r="J670">
        <f>IF(tblStudents[[#This Row],[Average Score]]&gt;=60,1,0)</f>
        <v>1</v>
      </c>
      <c r="K670" t="str">
        <f>IF(tblStudents[[#This Row],[Average Score]]&gt;=60,"Pass","At Risk")</f>
        <v>Pass</v>
      </c>
      <c r="L670" t="str" cm="1">
        <f t="array" ref="L670">_xlfn.IFS(tblStudents[[#This Row],[Average Score]]&gt;=80,"High",tblStudents[[#This Row],[Average Score]]&gt;=60,"Meets Standard",TRUE,"At Risk")</f>
        <v>Meets Standard</v>
      </c>
      <c r="M6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671" spans="1:13" x14ac:dyDescent="0.25">
      <c r="A671" t="s">
        <v>9</v>
      </c>
      <c r="B671" t="s">
        <v>13</v>
      </c>
      <c r="C671" t="s">
        <v>11</v>
      </c>
      <c r="D671" t="s">
        <v>3</v>
      </c>
      <c r="E671" t="s">
        <v>7</v>
      </c>
      <c r="F671">
        <v>81</v>
      </c>
      <c r="G671">
        <v>72</v>
      </c>
      <c r="H671">
        <v>77</v>
      </c>
      <c r="I671" s="1">
        <f>AVERAGE(tblStudents[[#This Row],[Math Score]],tblStudents[[#This Row],[Reading Score]],tblStudents[[#This Row],[Writing Score]])</f>
        <v>76.666666666666671</v>
      </c>
      <c r="J671">
        <f>IF(tblStudents[[#This Row],[Average Score]]&gt;=60,1,0)</f>
        <v>1</v>
      </c>
      <c r="K671" t="str">
        <f>IF(tblStudents[[#This Row],[Average Score]]&gt;=60,"Pass","At Risk")</f>
        <v>Pass</v>
      </c>
      <c r="L671" t="str" cm="1">
        <f t="array" ref="L671">_xlfn.IFS(tblStudents[[#This Row],[Average Score]]&gt;=80,"High",tblStudents[[#This Row],[Average Score]]&gt;=60,"Meets Standard",TRUE,"At Risk")</f>
        <v>Meets Standard</v>
      </c>
      <c r="M6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72" spans="1:13" x14ac:dyDescent="0.25">
      <c r="A672" t="s">
        <v>0</v>
      </c>
      <c r="B672" t="s">
        <v>5</v>
      </c>
      <c r="C672" t="s">
        <v>14</v>
      </c>
      <c r="D672" t="s">
        <v>12</v>
      </c>
      <c r="E672" t="s">
        <v>4</v>
      </c>
      <c r="F672">
        <v>66</v>
      </c>
      <c r="G672">
        <v>76</v>
      </c>
      <c r="H672">
        <v>68</v>
      </c>
      <c r="I672" s="1">
        <f>AVERAGE(tblStudents[[#This Row],[Math Score]],tblStudents[[#This Row],[Reading Score]],tblStudents[[#This Row],[Writing Score]])</f>
        <v>70</v>
      </c>
      <c r="J672">
        <f>IF(tblStudents[[#This Row],[Average Score]]&gt;=60,1,0)</f>
        <v>1</v>
      </c>
      <c r="K672" t="str">
        <f>IF(tblStudents[[#This Row],[Average Score]]&gt;=60,"Pass","At Risk")</f>
        <v>Pass</v>
      </c>
      <c r="L672" t="str" cm="1">
        <f t="array" ref="L672">_xlfn.IFS(tblStudents[[#This Row],[Average Score]]&gt;=80,"High",tblStudents[[#This Row],[Average Score]]&gt;=60,"Meets Standard",TRUE,"At Risk")</f>
        <v>Meets Standard</v>
      </c>
      <c r="M6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73" spans="1:13" x14ac:dyDescent="0.25">
      <c r="A673" t="s">
        <v>9</v>
      </c>
      <c r="B673" t="s">
        <v>13</v>
      </c>
      <c r="C673" t="s">
        <v>11</v>
      </c>
      <c r="D673" t="s">
        <v>12</v>
      </c>
      <c r="E673" t="s">
        <v>4</v>
      </c>
      <c r="F673">
        <v>52</v>
      </c>
      <c r="G673">
        <v>57</v>
      </c>
      <c r="H673">
        <v>50</v>
      </c>
      <c r="I673" s="1">
        <f>AVERAGE(tblStudents[[#This Row],[Math Score]],tblStudents[[#This Row],[Reading Score]],tblStudents[[#This Row],[Writing Score]])</f>
        <v>53</v>
      </c>
      <c r="J673">
        <f>IF(tblStudents[[#This Row],[Average Score]]&gt;=60,1,0)</f>
        <v>0</v>
      </c>
      <c r="K673" t="str">
        <f>IF(tblStudents[[#This Row],[Average Score]]&gt;=60,"Pass","At Risk")</f>
        <v>At Risk</v>
      </c>
      <c r="L673" t="str" cm="1">
        <f t="array" ref="L673">_xlfn.IFS(tblStudents[[#This Row],[Average Score]]&gt;=80,"High",tblStudents[[#This Row],[Average Score]]&gt;=60,"Meets Standard",TRUE,"At Risk")</f>
        <v>At Risk</v>
      </c>
      <c r="M6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74" spans="1:13" x14ac:dyDescent="0.25">
      <c r="A674" t="s">
        <v>0</v>
      </c>
      <c r="B674" t="s">
        <v>5</v>
      </c>
      <c r="C674" t="s">
        <v>6</v>
      </c>
      <c r="D674" t="s">
        <v>3</v>
      </c>
      <c r="E674" t="s">
        <v>4</v>
      </c>
      <c r="F674">
        <v>69</v>
      </c>
      <c r="G674">
        <v>78</v>
      </c>
      <c r="H674">
        <v>76</v>
      </c>
      <c r="I674" s="1">
        <f>AVERAGE(tblStudents[[#This Row],[Math Score]],tblStudents[[#This Row],[Reading Score]],tblStudents[[#This Row],[Writing Score]])</f>
        <v>74.333333333333329</v>
      </c>
      <c r="J674">
        <f>IF(tblStudents[[#This Row],[Average Score]]&gt;=60,1,0)</f>
        <v>1</v>
      </c>
      <c r="K674" t="str">
        <f>IF(tblStudents[[#This Row],[Average Score]]&gt;=60,"Pass","At Risk")</f>
        <v>Pass</v>
      </c>
      <c r="L674" t="str" cm="1">
        <f t="array" ref="L674">_xlfn.IFS(tblStudents[[#This Row],[Average Score]]&gt;=80,"High",tblStudents[[#This Row],[Average Score]]&gt;=60,"Meets Standard",TRUE,"At Risk")</f>
        <v>Meets Standard</v>
      </c>
      <c r="M6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75" spans="1:13" x14ac:dyDescent="0.25">
      <c r="A675" t="s">
        <v>0</v>
      </c>
      <c r="B675" t="s">
        <v>5</v>
      </c>
      <c r="C675" t="s">
        <v>11</v>
      </c>
      <c r="D675" t="s">
        <v>3</v>
      </c>
      <c r="E675" t="s">
        <v>7</v>
      </c>
      <c r="F675">
        <v>65</v>
      </c>
      <c r="G675">
        <v>84</v>
      </c>
      <c r="H675">
        <v>84</v>
      </c>
      <c r="I675" s="1">
        <f>AVERAGE(tblStudents[[#This Row],[Math Score]],tblStudents[[#This Row],[Reading Score]],tblStudents[[#This Row],[Writing Score]])</f>
        <v>77.666666666666671</v>
      </c>
      <c r="J675">
        <f>IF(tblStudents[[#This Row],[Average Score]]&gt;=60,1,0)</f>
        <v>1</v>
      </c>
      <c r="K675" t="str">
        <f>IF(tblStudents[[#This Row],[Average Score]]&gt;=60,"Pass","At Risk")</f>
        <v>Pass</v>
      </c>
      <c r="L675" t="str" cm="1">
        <f t="array" ref="L675">_xlfn.IFS(tblStudents[[#This Row],[Average Score]]&gt;=80,"High",tblStudents[[#This Row],[Average Score]]&gt;=60,"Meets Standard",TRUE,"At Risk")</f>
        <v>Meets Standard</v>
      </c>
      <c r="M6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676" spans="1:13" x14ac:dyDescent="0.25">
      <c r="A676" t="s">
        <v>0</v>
      </c>
      <c r="B676" t="s">
        <v>13</v>
      </c>
      <c r="C676" t="s">
        <v>14</v>
      </c>
      <c r="D676" t="s">
        <v>3</v>
      </c>
      <c r="E676" t="s">
        <v>7</v>
      </c>
      <c r="F676">
        <v>69</v>
      </c>
      <c r="G676">
        <v>77</v>
      </c>
      <c r="H676">
        <v>78</v>
      </c>
      <c r="I676" s="1">
        <f>AVERAGE(tblStudents[[#This Row],[Math Score]],tblStudents[[#This Row],[Reading Score]],tblStudents[[#This Row],[Writing Score]])</f>
        <v>74.666666666666671</v>
      </c>
      <c r="J676">
        <f>IF(tblStudents[[#This Row],[Average Score]]&gt;=60,1,0)</f>
        <v>1</v>
      </c>
      <c r="K676" t="str">
        <f>IF(tblStudents[[#This Row],[Average Score]]&gt;=60,"Pass","At Risk")</f>
        <v>Pass</v>
      </c>
      <c r="L676" t="str" cm="1">
        <f t="array" ref="L676">_xlfn.IFS(tblStudents[[#This Row],[Average Score]]&gt;=80,"High",tblStudents[[#This Row],[Average Score]]&gt;=60,"Meets Standard",TRUE,"At Risk")</f>
        <v>Meets Standard</v>
      </c>
      <c r="M6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677" spans="1:13" x14ac:dyDescent="0.25">
      <c r="A677" t="s">
        <v>0</v>
      </c>
      <c r="B677" t="s">
        <v>1</v>
      </c>
      <c r="C677" t="s">
        <v>6</v>
      </c>
      <c r="D677" t="s">
        <v>3</v>
      </c>
      <c r="E677" t="s">
        <v>7</v>
      </c>
      <c r="F677">
        <v>50</v>
      </c>
      <c r="G677">
        <v>64</v>
      </c>
      <c r="H677">
        <v>66</v>
      </c>
      <c r="I677" s="1">
        <f>AVERAGE(tblStudents[[#This Row],[Math Score]],tblStudents[[#This Row],[Reading Score]],tblStudents[[#This Row],[Writing Score]])</f>
        <v>60</v>
      </c>
      <c r="J677">
        <f>IF(tblStudents[[#This Row],[Average Score]]&gt;=60,1,0)</f>
        <v>1</v>
      </c>
      <c r="K677" t="str">
        <f>IF(tblStudents[[#This Row],[Average Score]]&gt;=60,"Pass","At Risk")</f>
        <v>Pass</v>
      </c>
      <c r="L677" t="str" cm="1">
        <f t="array" ref="L677">_xlfn.IFS(tblStudents[[#This Row],[Average Score]]&gt;=80,"High",tblStudents[[#This Row],[Average Score]]&gt;=60,"Meets Standard",TRUE,"At Risk")</f>
        <v>Meets Standard</v>
      </c>
      <c r="M6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678" spans="1:13" x14ac:dyDescent="0.25">
      <c r="A678" t="s">
        <v>0</v>
      </c>
      <c r="B678" t="s">
        <v>16</v>
      </c>
      <c r="C678" t="s">
        <v>6</v>
      </c>
      <c r="D678" t="s">
        <v>3</v>
      </c>
      <c r="E678" t="s">
        <v>7</v>
      </c>
      <c r="F678">
        <v>73</v>
      </c>
      <c r="G678">
        <v>78</v>
      </c>
      <c r="H678">
        <v>76</v>
      </c>
      <c r="I678" s="1">
        <f>AVERAGE(tblStudents[[#This Row],[Math Score]],tblStudents[[#This Row],[Reading Score]],tblStudents[[#This Row],[Writing Score]])</f>
        <v>75.666666666666671</v>
      </c>
      <c r="J678">
        <f>IF(tblStudents[[#This Row],[Average Score]]&gt;=60,1,0)</f>
        <v>1</v>
      </c>
      <c r="K678" t="str">
        <f>IF(tblStudents[[#This Row],[Average Score]]&gt;=60,"Pass","At Risk")</f>
        <v>Pass</v>
      </c>
      <c r="L678" t="str" cm="1">
        <f t="array" ref="L678">_xlfn.IFS(tblStudents[[#This Row],[Average Score]]&gt;=80,"High",tblStudents[[#This Row],[Average Score]]&gt;=60,"Meets Standard",TRUE,"At Risk")</f>
        <v>Meets Standard</v>
      </c>
      <c r="M6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79" spans="1:13" x14ac:dyDescent="0.25">
      <c r="A679" t="s">
        <v>0</v>
      </c>
      <c r="B679" t="s">
        <v>5</v>
      </c>
      <c r="C679" t="s">
        <v>15</v>
      </c>
      <c r="D679" t="s">
        <v>3</v>
      </c>
      <c r="E679" t="s">
        <v>7</v>
      </c>
      <c r="F679">
        <v>70</v>
      </c>
      <c r="G679">
        <v>82</v>
      </c>
      <c r="H679">
        <v>76</v>
      </c>
      <c r="I679" s="1">
        <f>AVERAGE(tblStudents[[#This Row],[Math Score]],tblStudents[[#This Row],[Reading Score]],tblStudents[[#This Row],[Writing Score]])</f>
        <v>76</v>
      </c>
      <c r="J679">
        <f>IF(tblStudents[[#This Row],[Average Score]]&gt;=60,1,0)</f>
        <v>1</v>
      </c>
      <c r="K679" t="str">
        <f>IF(tblStudents[[#This Row],[Average Score]]&gt;=60,"Pass","At Risk")</f>
        <v>Pass</v>
      </c>
      <c r="L679" t="str" cm="1">
        <f t="array" ref="L679">_xlfn.IFS(tblStudents[[#This Row],[Average Score]]&gt;=80,"High",tblStudents[[#This Row],[Average Score]]&gt;=60,"Meets Standard",TRUE,"At Risk")</f>
        <v>Meets Standard</v>
      </c>
      <c r="M6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680" spans="1:13" x14ac:dyDescent="0.25">
      <c r="A680" t="s">
        <v>9</v>
      </c>
      <c r="B680" t="s">
        <v>13</v>
      </c>
      <c r="C680" t="s">
        <v>11</v>
      </c>
      <c r="D680" t="s">
        <v>12</v>
      </c>
      <c r="E680" t="s">
        <v>4</v>
      </c>
      <c r="F680">
        <v>81</v>
      </c>
      <c r="G680">
        <v>75</v>
      </c>
      <c r="H680">
        <v>78</v>
      </c>
      <c r="I680" s="1">
        <f>AVERAGE(tblStudents[[#This Row],[Math Score]],tblStudents[[#This Row],[Reading Score]],tblStudents[[#This Row],[Writing Score]])</f>
        <v>78</v>
      </c>
      <c r="J680">
        <f>IF(tblStudents[[#This Row],[Average Score]]&gt;=60,1,0)</f>
        <v>1</v>
      </c>
      <c r="K680" t="str">
        <f>IF(tblStudents[[#This Row],[Average Score]]&gt;=60,"Pass","At Risk")</f>
        <v>Pass</v>
      </c>
      <c r="L680" t="str" cm="1">
        <f t="array" ref="L680">_xlfn.IFS(tblStudents[[#This Row],[Average Score]]&gt;=80,"High",tblStudents[[#This Row],[Average Score]]&gt;=60,"Meets Standard",TRUE,"At Risk")</f>
        <v>Meets Standard</v>
      </c>
      <c r="M6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81" spans="1:13" x14ac:dyDescent="0.25">
      <c r="A681" t="s">
        <v>9</v>
      </c>
      <c r="B681" t="s">
        <v>13</v>
      </c>
      <c r="C681" t="s">
        <v>6</v>
      </c>
      <c r="D681" t="s">
        <v>12</v>
      </c>
      <c r="E681" t="s">
        <v>4</v>
      </c>
      <c r="F681">
        <v>63</v>
      </c>
      <c r="G681">
        <v>61</v>
      </c>
      <c r="H681">
        <v>60</v>
      </c>
      <c r="I681" s="1">
        <f>AVERAGE(tblStudents[[#This Row],[Math Score]],tblStudents[[#This Row],[Reading Score]],tblStudents[[#This Row],[Writing Score]])</f>
        <v>61.333333333333336</v>
      </c>
      <c r="J681">
        <f>IF(tblStudents[[#This Row],[Average Score]]&gt;=60,1,0)</f>
        <v>1</v>
      </c>
      <c r="K681" t="str">
        <f>IF(tblStudents[[#This Row],[Average Score]]&gt;=60,"Pass","At Risk")</f>
        <v>Pass</v>
      </c>
      <c r="L681" t="str" cm="1">
        <f t="array" ref="L681">_xlfn.IFS(tblStudents[[#This Row],[Average Score]]&gt;=80,"High",tblStudents[[#This Row],[Average Score]]&gt;=60,"Meets Standard",TRUE,"At Risk")</f>
        <v>Meets Standard</v>
      </c>
      <c r="M6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682" spans="1:13" x14ac:dyDescent="0.25">
      <c r="A682" t="s">
        <v>0</v>
      </c>
      <c r="B682" t="s">
        <v>13</v>
      </c>
      <c r="C682" t="s">
        <v>14</v>
      </c>
      <c r="D682" t="s">
        <v>3</v>
      </c>
      <c r="E682" t="s">
        <v>4</v>
      </c>
      <c r="F682">
        <v>67</v>
      </c>
      <c r="G682">
        <v>72</v>
      </c>
      <c r="H682">
        <v>74</v>
      </c>
      <c r="I682" s="1">
        <f>AVERAGE(tblStudents[[#This Row],[Math Score]],tblStudents[[#This Row],[Reading Score]],tblStudents[[#This Row],[Writing Score]])</f>
        <v>71</v>
      </c>
      <c r="J682">
        <f>IF(tblStudents[[#This Row],[Average Score]]&gt;=60,1,0)</f>
        <v>1</v>
      </c>
      <c r="K682" t="str">
        <f>IF(tblStudents[[#This Row],[Average Score]]&gt;=60,"Pass","At Risk")</f>
        <v>Pass</v>
      </c>
      <c r="L682" t="str" cm="1">
        <f t="array" ref="L682">_xlfn.IFS(tblStudents[[#This Row],[Average Score]]&gt;=80,"High",tblStudents[[#This Row],[Average Score]]&gt;=60,"Meets Standard",TRUE,"At Risk")</f>
        <v>Meets Standard</v>
      </c>
      <c r="M6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683" spans="1:13" x14ac:dyDescent="0.25">
      <c r="A683" t="s">
        <v>9</v>
      </c>
      <c r="B683" t="s">
        <v>1</v>
      </c>
      <c r="C683" t="s">
        <v>14</v>
      </c>
      <c r="D683" t="s">
        <v>3</v>
      </c>
      <c r="E683" t="s">
        <v>4</v>
      </c>
      <c r="F683">
        <v>60</v>
      </c>
      <c r="G683">
        <v>68</v>
      </c>
      <c r="H683">
        <v>60</v>
      </c>
      <c r="I683" s="1">
        <f>AVERAGE(tblStudents[[#This Row],[Math Score]],tblStudents[[#This Row],[Reading Score]],tblStudents[[#This Row],[Writing Score]])</f>
        <v>62.666666666666664</v>
      </c>
      <c r="J683">
        <f>IF(tblStudents[[#This Row],[Average Score]]&gt;=60,1,0)</f>
        <v>1</v>
      </c>
      <c r="K683" t="str">
        <f>IF(tblStudents[[#This Row],[Average Score]]&gt;=60,"Pass","At Risk")</f>
        <v>Pass</v>
      </c>
      <c r="L683" t="str" cm="1">
        <f t="array" ref="L683">_xlfn.IFS(tblStudents[[#This Row],[Average Score]]&gt;=80,"High",tblStudents[[#This Row],[Average Score]]&gt;=60,"Meets Standard",TRUE,"At Risk")</f>
        <v>Meets Standard</v>
      </c>
      <c r="M6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84" spans="1:13" x14ac:dyDescent="0.25">
      <c r="A684" t="s">
        <v>9</v>
      </c>
      <c r="B684" t="s">
        <v>1</v>
      </c>
      <c r="C684" t="s">
        <v>14</v>
      </c>
      <c r="D684" t="s">
        <v>3</v>
      </c>
      <c r="E684" t="s">
        <v>4</v>
      </c>
      <c r="F684">
        <v>62</v>
      </c>
      <c r="G684">
        <v>55</v>
      </c>
      <c r="H684">
        <v>54</v>
      </c>
      <c r="I684" s="1">
        <f>AVERAGE(tblStudents[[#This Row],[Math Score]],tblStudents[[#This Row],[Reading Score]],tblStudents[[#This Row],[Writing Score]])</f>
        <v>57</v>
      </c>
      <c r="J684">
        <f>IF(tblStudents[[#This Row],[Average Score]]&gt;=60,1,0)</f>
        <v>0</v>
      </c>
      <c r="K684" t="str">
        <f>IF(tblStudents[[#This Row],[Average Score]]&gt;=60,"Pass","At Risk")</f>
        <v>At Risk</v>
      </c>
      <c r="L684" t="str" cm="1">
        <f t="array" ref="L684">_xlfn.IFS(tblStudents[[#This Row],[Average Score]]&gt;=80,"High",tblStudents[[#This Row],[Average Score]]&gt;=60,"Meets Standard",TRUE,"At Risk")</f>
        <v>At Risk</v>
      </c>
      <c r="M6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685" spans="1:13" x14ac:dyDescent="0.25">
      <c r="A685" t="s">
        <v>0</v>
      </c>
      <c r="B685" t="s">
        <v>5</v>
      </c>
      <c r="C685" t="s">
        <v>15</v>
      </c>
      <c r="D685" t="s">
        <v>12</v>
      </c>
      <c r="E685" t="s">
        <v>7</v>
      </c>
      <c r="F685">
        <v>29</v>
      </c>
      <c r="G685">
        <v>40</v>
      </c>
      <c r="H685">
        <v>44</v>
      </c>
      <c r="I685" s="1">
        <f>AVERAGE(tblStudents[[#This Row],[Math Score]],tblStudents[[#This Row],[Reading Score]],tblStudents[[#This Row],[Writing Score]])</f>
        <v>37.666666666666664</v>
      </c>
      <c r="J685">
        <f>IF(tblStudents[[#This Row],[Average Score]]&gt;=60,1,0)</f>
        <v>0</v>
      </c>
      <c r="K685" t="str">
        <f>IF(tblStudents[[#This Row],[Average Score]]&gt;=60,"Pass","At Risk")</f>
        <v>At Risk</v>
      </c>
      <c r="L685" t="str" cm="1">
        <f t="array" ref="L685">_xlfn.IFS(tblStudents[[#This Row],[Average Score]]&gt;=80,"High",tblStudents[[#This Row],[Average Score]]&gt;=60,"Meets Standard",TRUE,"At Risk")</f>
        <v>At Risk</v>
      </c>
      <c r="M6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686" spans="1:13" x14ac:dyDescent="0.25">
      <c r="A686" t="s">
        <v>9</v>
      </c>
      <c r="B686" t="s">
        <v>1</v>
      </c>
      <c r="C686" t="s">
        <v>6</v>
      </c>
      <c r="D686" t="s">
        <v>3</v>
      </c>
      <c r="E686" t="s">
        <v>7</v>
      </c>
      <c r="F686">
        <v>62</v>
      </c>
      <c r="G686">
        <v>66</v>
      </c>
      <c r="H686">
        <v>68</v>
      </c>
      <c r="I686" s="1">
        <f>AVERAGE(tblStudents[[#This Row],[Math Score]],tblStudents[[#This Row],[Reading Score]],tblStudents[[#This Row],[Writing Score]])</f>
        <v>65.333333333333329</v>
      </c>
      <c r="J686">
        <f>IF(tblStudents[[#This Row],[Average Score]]&gt;=60,1,0)</f>
        <v>1</v>
      </c>
      <c r="K686" t="str">
        <f>IF(tblStudents[[#This Row],[Average Score]]&gt;=60,"Pass","At Risk")</f>
        <v>Pass</v>
      </c>
      <c r="L686" t="str" cm="1">
        <f t="array" ref="L686">_xlfn.IFS(tblStudents[[#This Row],[Average Score]]&gt;=80,"High",tblStudents[[#This Row],[Average Score]]&gt;=60,"Meets Standard",TRUE,"At Risk")</f>
        <v>Meets Standard</v>
      </c>
      <c r="M6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87" spans="1:13" x14ac:dyDescent="0.25">
      <c r="A687" t="s">
        <v>0</v>
      </c>
      <c r="B687" t="s">
        <v>16</v>
      </c>
      <c r="C687" t="s">
        <v>8</v>
      </c>
      <c r="D687" t="s">
        <v>3</v>
      </c>
      <c r="E687" t="s">
        <v>7</v>
      </c>
      <c r="F687">
        <v>94</v>
      </c>
      <c r="G687">
        <v>99</v>
      </c>
      <c r="H687">
        <v>100</v>
      </c>
      <c r="I687" s="1">
        <f>AVERAGE(tblStudents[[#This Row],[Math Score]],tblStudents[[#This Row],[Reading Score]],tblStudents[[#This Row],[Writing Score]])</f>
        <v>97.666666666666671</v>
      </c>
      <c r="J687">
        <f>IF(tblStudents[[#This Row],[Average Score]]&gt;=60,1,0)</f>
        <v>1</v>
      </c>
      <c r="K687" t="str">
        <f>IF(tblStudents[[#This Row],[Average Score]]&gt;=60,"Pass","At Risk")</f>
        <v>Pass</v>
      </c>
      <c r="L687" t="str" cm="1">
        <f t="array" ref="L687">_xlfn.IFS(tblStudents[[#This Row],[Average Score]]&gt;=80,"High",tblStudents[[#This Row],[Average Score]]&gt;=60,"Meets Standard",TRUE,"At Risk")</f>
        <v>High</v>
      </c>
      <c r="M6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688" spans="1:13" x14ac:dyDescent="0.25">
      <c r="A688" t="s">
        <v>9</v>
      </c>
      <c r="B688" t="s">
        <v>16</v>
      </c>
      <c r="C688" t="s">
        <v>6</v>
      </c>
      <c r="D688" t="s">
        <v>3</v>
      </c>
      <c r="E688" t="s">
        <v>7</v>
      </c>
      <c r="F688">
        <v>85</v>
      </c>
      <c r="G688">
        <v>75</v>
      </c>
      <c r="H688">
        <v>68</v>
      </c>
      <c r="I688" s="1">
        <f>AVERAGE(tblStudents[[#This Row],[Math Score]],tblStudents[[#This Row],[Reading Score]],tblStudents[[#This Row],[Writing Score]])</f>
        <v>76</v>
      </c>
      <c r="J688">
        <f>IF(tblStudents[[#This Row],[Average Score]]&gt;=60,1,0)</f>
        <v>1</v>
      </c>
      <c r="K688" t="str">
        <f>IF(tblStudents[[#This Row],[Average Score]]&gt;=60,"Pass","At Risk")</f>
        <v>Pass</v>
      </c>
      <c r="L688" t="str" cm="1">
        <f t="array" ref="L688">_xlfn.IFS(tblStudents[[#This Row],[Average Score]]&gt;=80,"High",tblStudents[[#This Row],[Average Score]]&gt;=60,"Meets Standard",TRUE,"At Risk")</f>
        <v>Meets Standard</v>
      </c>
      <c r="M6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689" spans="1:13" x14ac:dyDescent="0.25">
      <c r="A689" t="s">
        <v>9</v>
      </c>
      <c r="B689" t="s">
        <v>13</v>
      </c>
      <c r="C689" t="s">
        <v>11</v>
      </c>
      <c r="D689" t="s">
        <v>12</v>
      </c>
      <c r="E689" t="s">
        <v>4</v>
      </c>
      <c r="F689">
        <v>77</v>
      </c>
      <c r="G689">
        <v>78</v>
      </c>
      <c r="H689">
        <v>73</v>
      </c>
      <c r="I689" s="1">
        <f>AVERAGE(tblStudents[[#This Row],[Math Score]],tblStudents[[#This Row],[Reading Score]],tblStudents[[#This Row],[Writing Score]])</f>
        <v>76</v>
      </c>
      <c r="J689">
        <f>IF(tblStudents[[#This Row],[Average Score]]&gt;=60,1,0)</f>
        <v>1</v>
      </c>
      <c r="K689" t="str">
        <f>IF(tblStudents[[#This Row],[Average Score]]&gt;=60,"Pass","At Risk")</f>
        <v>Pass</v>
      </c>
      <c r="L689" t="str" cm="1">
        <f t="array" ref="L689">_xlfn.IFS(tblStudents[[#This Row],[Average Score]]&gt;=80,"High",tblStudents[[#This Row],[Average Score]]&gt;=60,"Meets Standard",TRUE,"At Risk")</f>
        <v>Meets Standard</v>
      </c>
      <c r="M6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90" spans="1:13" x14ac:dyDescent="0.25">
      <c r="A690" t="s">
        <v>9</v>
      </c>
      <c r="B690" t="s">
        <v>10</v>
      </c>
      <c r="C690" t="s">
        <v>14</v>
      </c>
      <c r="D690" t="s">
        <v>12</v>
      </c>
      <c r="E690" t="s">
        <v>4</v>
      </c>
      <c r="F690">
        <v>53</v>
      </c>
      <c r="G690">
        <v>58</v>
      </c>
      <c r="H690">
        <v>44</v>
      </c>
      <c r="I690" s="1">
        <f>AVERAGE(tblStudents[[#This Row],[Math Score]],tblStudents[[#This Row],[Reading Score]],tblStudents[[#This Row],[Writing Score]])</f>
        <v>51.666666666666664</v>
      </c>
      <c r="J690">
        <f>IF(tblStudents[[#This Row],[Average Score]]&gt;=60,1,0)</f>
        <v>0</v>
      </c>
      <c r="K690" t="str">
        <f>IF(tblStudents[[#This Row],[Average Score]]&gt;=60,"Pass","At Risk")</f>
        <v>At Risk</v>
      </c>
      <c r="L690" t="str" cm="1">
        <f t="array" ref="L690">_xlfn.IFS(tblStudents[[#This Row],[Average Score]]&gt;=80,"High",tblStudents[[#This Row],[Average Score]]&gt;=60,"Meets Standard",TRUE,"At Risk")</f>
        <v>At Risk</v>
      </c>
      <c r="M6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691" spans="1:13" x14ac:dyDescent="0.25">
      <c r="A691" t="s">
        <v>9</v>
      </c>
      <c r="B691" t="s">
        <v>16</v>
      </c>
      <c r="C691" t="s">
        <v>6</v>
      </c>
      <c r="D691" t="s">
        <v>12</v>
      </c>
      <c r="E691" t="s">
        <v>4</v>
      </c>
      <c r="F691">
        <v>93</v>
      </c>
      <c r="G691">
        <v>90</v>
      </c>
      <c r="H691">
        <v>83</v>
      </c>
      <c r="I691" s="1">
        <f>AVERAGE(tblStudents[[#This Row],[Math Score]],tblStudents[[#This Row],[Reading Score]],tblStudents[[#This Row],[Writing Score]])</f>
        <v>88.666666666666671</v>
      </c>
      <c r="J691">
        <f>IF(tblStudents[[#This Row],[Average Score]]&gt;=60,1,0)</f>
        <v>1</v>
      </c>
      <c r="K691" t="str">
        <f>IF(tblStudents[[#This Row],[Average Score]]&gt;=60,"Pass","At Risk")</f>
        <v>Pass</v>
      </c>
      <c r="L691" t="str" cm="1">
        <f t="array" ref="L691">_xlfn.IFS(tblStudents[[#This Row],[Average Score]]&gt;=80,"High",tblStudents[[#This Row],[Average Score]]&gt;=60,"Meets Standard",TRUE,"At Risk")</f>
        <v>High</v>
      </c>
      <c r="M6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92" spans="1:13" x14ac:dyDescent="0.25">
      <c r="A692" t="s">
        <v>0</v>
      </c>
      <c r="B692" t="s">
        <v>5</v>
      </c>
      <c r="C692" t="s">
        <v>11</v>
      </c>
      <c r="D692" t="s">
        <v>3</v>
      </c>
      <c r="E692" t="s">
        <v>4</v>
      </c>
      <c r="F692">
        <v>49</v>
      </c>
      <c r="G692">
        <v>53</v>
      </c>
      <c r="H692">
        <v>53</v>
      </c>
      <c r="I692" s="1">
        <f>AVERAGE(tblStudents[[#This Row],[Math Score]],tblStudents[[#This Row],[Reading Score]],tblStudents[[#This Row],[Writing Score]])</f>
        <v>51.666666666666664</v>
      </c>
      <c r="J692">
        <f>IF(tblStudents[[#This Row],[Average Score]]&gt;=60,1,0)</f>
        <v>0</v>
      </c>
      <c r="K692" t="str">
        <f>IF(tblStudents[[#This Row],[Average Score]]&gt;=60,"Pass","At Risk")</f>
        <v>At Risk</v>
      </c>
      <c r="L692" t="str" cm="1">
        <f t="array" ref="L692">_xlfn.IFS(tblStudents[[#This Row],[Average Score]]&gt;=80,"High",tblStudents[[#This Row],[Average Score]]&gt;=60,"Meets Standard",TRUE,"At Risk")</f>
        <v>At Risk</v>
      </c>
      <c r="M6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93" spans="1:13" x14ac:dyDescent="0.25">
      <c r="A693" t="s">
        <v>0</v>
      </c>
      <c r="B693" t="s">
        <v>16</v>
      </c>
      <c r="C693" t="s">
        <v>11</v>
      </c>
      <c r="D693" t="s">
        <v>12</v>
      </c>
      <c r="E693" t="s">
        <v>4</v>
      </c>
      <c r="F693">
        <v>73</v>
      </c>
      <c r="G693">
        <v>76</v>
      </c>
      <c r="H693">
        <v>78</v>
      </c>
      <c r="I693" s="1">
        <f>AVERAGE(tblStudents[[#This Row],[Math Score]],tblStudents[[#This Row],[Reading Score]],tblStudents[[#This Row],[Writing Score]])</f>
        <v>75.666666666666671</v>
      </c>
      <c r="J693">
        <f>IF(tblStudents[[#This Row],[Average Score]]&gt;=60,1,0)</f>
        <v>1</v>
      </c>
      <c r="K693" t="str">
        <f>IF(tblStudents[[#This Row],[Average Score]]&gt;=60,"Pass","At Risk")</f>
        <v>Pass</v>
      </c>
      <c r="L693" t="str" cm="1">
        <f t="array" ref="L693">_xlfn.IFS(tblStudents[[#This Row],[Average Score]]&gt;=80,"High",tblStudents[[#This Row],[Average Score]]&gt;=60,"Meets Standard",TRUE,"At Risk")</f>
        <v>Meets Standard</v>
      </c>
      <c r="M6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694" spans="1:13" x14ac:dyDescent="0.25">
      <c r="A694" t="s">
        <v>0</v>
      </c>
      <c r="B694" t="s">
        <v>5</v>
      </c>
      <c r="C694" t="s">
        <v>2</v>
      </c>
      <c r="D694" t="s">
        <v>12</v>
      </c>
      <c r="E694" t="s">
        <v>7</v>
      </c>
      <c r="F694">
        <v>66</v>
      </c>
      <c r="G694">
        <v>74</v>
      </c>
      <c r="H694">
        <v>81</v>
      </c>
      <c r="I694" s="1">
        <f>AVERAGE(tblStudents[[#This Row],[Math Score]],tblStudents[[#This Row],[Reading Score]],tblStudents[[#This Row],[Writing Score]])</f>
        <v>73.666666666666671</v>
      </c>
      <c r="J694">
        <f>IF(tblStudents[[#This Row],[Average Score]]&gt;=60,1,0)</f>
        <v>1</v>
      </c>
      <c r="K694" t="str">
        <f>IF(tblStudents[[#This Row],[Average Score]]&gt;=60,"Pass","At Risk")</f>
        <v>Pass</v>
      </c>
      <c r="L694" t="str" cm="1">
        <f t="array" ref="L694">_xlfn.IFS(tblStudents[[#This Row],[Average Score]]&gt;=80,"High",tblStudents[[#This Row],[Average Score]]&gt;=60,"Meets Standard",TRUE,"At Risk")</f>
        <v>Meets Standard</v>
      </c>
      <c r="M6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695" spans="1:13" x14ac:dyDescent="0.25">
      <c r="A695" t="s">
        <v>0</v>
      </c>
      <c r="B695" t="s">
        <v>13</v>
      </c>
      <c r="C695" t="s">
        <v>11</v>
      </c>
      <c r="D695" t="s">
        <v>3</v>
      </c>
      <c r="E695" t="s">
        <v>4</v>
      </c>
      <c r="F695">
        <v>77</v>
      </c>
      <c r="G695">
        <v>77</v>
      </c>
      <c r="H695">
        <v>73</v>
      </c>
      <c r="I695" s="1">
        <f>AVERAGE(tblStudents[[#This Row],[Math Score]],tblStudents[[#This Row],[Reading Score]],tblStudents[[#This Row],[Writing Score]])</f>
        <v>75.666666666666671</v>
      </c>
      <c r="J695">
        <f>IF(tblStudents[[#This Row],[Average Score]]&gt;=60,1,0)</f>
        <v>1</v>
      </c>
      <c r="K695" t="str">
        <f>IF(tblStudents[[#This Row],[Average Score]]&gt;=60,"Pass","At Risk")</f>
        <v>Pass</v>
      </c>
      <c r="L695" t="str" cm="1">
        <f t="array" ref="L695">_xlfn.IFS(tblStudents[[#This Row],[Average Score]]&gt;=80,"High",tblStudents[[#This Row],[Average Score]]&gt;=60,"Meets Standard",TRUE,"At Risk")</f>
        <v>Meets Standard</v>
      </c>
      <c r="M6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696" spans="1:13" x14ac:dyDescent="0.25">
      <c r="A696" t="s">
        <v>0</v>
      </c>
      <c r="B696" t="s">
        <v>5</v>
      </c>
      <c r="C696" t="s">
        <v>15</v>
      </c>
      <c r="D696" t="s">
        <v>3</v>
      </c>
      <c r="E696" t="s">
        <v>4</v>
      </c>
      <c r="F696">
        <v>49</v>
      </c>
      <c r="G696">
        <v>63</v>
      </c>
      <c r="H696">
        <v>56</v>
      </c>
      <c r="I696" s="1">
        <f>AVERAGE(tblStudents[[#This Row],[Math Score]],tblStudents[[#This Row],[Reading Score]],tblStudents[[#This Row],[Writing Score]])</f>
        <v>56</v>
      </c>
      <c r="J696">
        <f>IF(tblStudents[[#This Row],[Average Score]]&gt;=60,1,0)</f>
        <v>0</v>
      </c>
      <c r="K696" t="str">
        <f>IF(tblStudents[[#This Row],[Average Score]]&gt;=60,"Pass","At Risk")</f>
        <v>At Risk</v>
      </c>
      <c r="L696" t="str" cm="1">
        <f t="array" ref="L696">_xlfn.IFS(tblStudents[[#This Row],[Average Score]]&gt;=80,"High",tblStudents[[#This Row],[Average Score]]&gt;=60,"Meets Standard",TRUE,"At Risk")</f>
        <v>At Risk</v>
      </c>
      <c r="M6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697" spans="1:13" x14ac:dyDescent="0.25">
      <c r="A697" t="s">
        <v>0</v>
      </c>
      <c r="B697" t="s">
        <v>13</v>
      </c>
      <c r="C697" t="s">
        <v>6</v>
      </c>
      <c r="D697" t="s">
        <v>12</v>
      </c>
      <c r="E697" t="s">
        <v>4</v>
      </c>
      <c r="F697">
        <v>79</v>
      </c>
      <c r="G697">
        <v>89</v>
      </c>
      <c r="H697">
        <v>86</v>
      </c>
      <c r="I697" s="1">
        <f>AVERAGE(tblStudents[[#This Row],[Math Score]],tblStudents[[#This Row],[Reading Score]],tblStudents[[#This Row],[Writing Score]])</f>
        <v>84.666666666666671</v>
      </c>
      <c r="J697">
        <f>IF(tblStudents[[#This Row],[Average Score]]&gt;=60,1,0)</f>
        <v>1</v>
      </c>
      <c r="K697" t="str">
        <f>IF(tblStudents[[#This Row],[Average Score]]&gt;=60,"Pass","At Risk")</f>
        <v>Pass</v>
      </c>
      <c r="L697" t="str" cm="1">
        <f t="array" ref="L697">_xlfn.IFS(tblStudents[[#This Row],[Average Score]]&gt;=80,"High",tblStudents[[#This Row],[Average Score]]&gt;=60,"Meets Standard",TRUE,"At Risk")</f>
        <v>High</v>
      </c>
      <c r="M6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698" spans="1:13" x14ac:dyDescent="0.25">
      <c r="A698" t="s">
        <v>0</v>
      </c>
      <c r="B698" t="s">
        <v>5</v>
      </c>
      <c r="C698" t="s">
        <v>11</v>
      </c>
      <c r="D698" t="s">
        <v>3</v>
      </c>
      <c r="E698" t="s">
        <v>7</v>
      </c>
      <c r="F698">
        <v>75</v>
      </c>
      <c r="G698">
        <v>82</v>
      </c>
      <c r="H698">
        <v>90</v>
      </c>
      <c r="I698" s="1">
        <f>AVERAGE(tblStudents[[#This Row],[Math Score]],tblStudents[[#This Row],[Reading Score]],tblStudents[[#This Row],[Writing Score]])</f>
        <v>82.333333333333329</v>
      </c>
      <c r="J698">
        <f>IF(tblStudents[[#This Row],[Average Score]]&gt;=60,1,0)</f>
        <v>1</v>
      </c>
      <c r="K698" t="str">
        <f>IF(tblStudents[[#This Row],[Average Score]]&gt;=60,"Pass","At Risk")</f>
        <v>Pass</v>
      </c>
      <c r="L698" t="str" cm="1">
        <f t="array" ref="L698">_xlfn.IFS(tblStudents[[#This Row],[Average Score]]&gt;=80,"High",tblStudents[[#This Row],[Average Score]]&gt;=60,"Meets Standard",TRUE,"At Risk")</f>
        <v>High</v>
      </c>
      <c r="M6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699" spans="1:13" x14ac:dyDescent="0.25">
      <c r="A699" t="s">
        <v>0</v>
      </c>
      <c r="B699" t="s">
        <v>10</v>
      </c>
      <c r="C699" t="s">
        <v>2</v>
      </c>
      <c r="D699" t="s">
        <v>3</v>
      </c>
      <c r="E699" t="s">
        <v>4</v>
      </c>
      <c r="F699">
        <v>59</v>
      </c>
      <c r="G699">
        <v>72</v>
      </c>
      <c r="H699">
        <v>70</v>
      </c>
      <c r="I699" s="1">
        <f>AVERAGE(tblStudents[[#This Row],[Math Score]],tblStudents[[#This Row],[Reading Score]],tblStudents[[#This Row],[Writing Score]])</f>
        <v>67</v>
      </c>
      <c r="J699">
        <f>IF(tblStudents[[#This Row],[Average Score]]&gt;=60,1,0)</f>
        <v>1</v>
      </c>
      <c r="K699" t="str">
        <f>IF(tblStudents[[#This Row],[Average Score]]&gt;=60,"Pass","At Risk")</f>
        <v>Pass</v>
      </c>
      <c r="L699" t="str" cm="1">
        <f t="array" ref="L699">_xlfn.IFS(tblStudents[[#This Row],[Average Score]]&gt;=80,"High",tblStudents[[#This Row],[Average Score]]&gt;=60,"Meets Standard",TRUE,"At Risk")</f>
        <v>Meets Standard</v>
      </c>
      <c r="M6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700" spans="1:13" x14ac:dyDescent="0.25">
      <c r="A700" t="s">
        <v>0</v>
      </c>
      <c r="B700" t="s">
        <v>13</v>
      </c>
      <c r="C700" t="s">
        <v>11</v>
      </c>
      <c r="D700" t="s">
        <v>3</v>
      </c>
      <c r="E700" t="s">
        <v>7</v>
      </c>
      <c r="F700">
        <v>57</v>
      </c>
      <c r="G700">
        <v>78</v>
      </c>
      <c r="H700">
        <v>79</v>
      </c>
      <c r="I700" s="1">
        <f>AVERAGE(tblStudents[[#This Row],[Math Score]],tblStudents[[#This Row],[Reading Score]],tblStudents[[#This Row],[Writing Score]])</f>
        <v>71.333333333333329</v>
      </c>
      <c r="J700">
        <f>IF(tblStudents[[#This Row],[Average Score]]&gt;=60,1,0)</f>
        <v>1</v>
      </c>
      <c r="K700" t="str">
        <f>IF(tblStudents[[#This Row],[Average Score]]&gt;=60,"Pass","At Risk")</f>
        <v>Pass</v>
      </c>
      <c r="L700" t="str" cm="1">
        <f t="array" ref="L700">_xlfn.IFS(tblStudents[[#This Row],[Average Score]]&gt;=80,"High",tblStudents[[#This Row],[Average Score]]&gt;=60,"Meets Standard",TRUE,"At Risk")</f>
        <v>Meets Standard</v>
      </c>
      <c r="M7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22</v>
      </c>
    </row>
    <row r="701" spans="1:13" x14ac:dyDescent="0.25">
      <c r="A701" t="s">
        <v>9</v>
      </c>
      <c r="B701" t="s">
        <v>5</v>
      </c>
      <c r="C701" t="s">
        <v>14</v>
      </c>
      <c r="D701" t="s">
        <v>12</v>
      </c>
      <c r="E701" t="s">
        <v>4</v>
      </c>
      <c r="F701">
        <v>66</v>
      </c>
      <c r="G701">
        <v>66</v>
      </c>
      <c r="H701">
        <v>59</v>
      </c>
      <c r="I701" s="1">
        <f>AVERAGE(tblStudents[[#This Row],[Math Score]],tblStudents[[#This Row],[Reading Score]],tblStudents[[#This Row],[Writing Score]])</f>
        <v>63.666666666666664</v>
      </c>
      <c r="J701">
        <f>IF(tblStudents[[#This Row],[Average Score]]&gt;=60,1,0)</f>
        <v>1</v>
      </c>
      <c r="K701" t="str">
        <f>IF(tblStudents[[#This Row],[Average Score]]&gt;=60,"Pass","At Risk")</f>
        <v>Pass</v>
      </c>
      <c r="L701" t="str" cm="1">
        <f t="array" ref="L701">_xlfn.IFS(tblStudents[[#This Row],[Average Score]]&gt;=80,"High",tblStudents[[#This Row],[Average Score]]&gt;=60,"Meets Standard",TRUE,"At Risk")</f>
        <v>Meets Standard</v>
      </c>
      <c r="M7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02" spans="1:13" x14ac:dyDescent="0.25">
      <c r="A702" t="s">
        <v>0</v>
      </c>
      <c r="B702" t="s">
        <v>16</v>
      </c>
      <c r="C702" t="s">
        <v>2</v>
      </c>
      <c r="D702" t="s">
        <v>3</v>
      </c>
      <c r="E702" t="s">
        <v>7</v>
      </c>
      <c r="F702">
        <v>79</v>
      </c>
      <c r="G702">
        <v>81</v>
      </c>
      <c r="H702">
        <v>82</v>
      </c>
      <c r="I702" s="1">
        <f>AVERAGE(tblStudents[[#This Row],[Math Score]],tblStudents[[#This Row],[Reading Score]],tblStudents[[#This Row],[Writing Score]])</f>
        <v>80.666666666666671</v>
      </c>
      <c r="J702">
        <f>IF(tblStudents[[#This Row],[Average Score]]&gt;=60,1,0)</f>
        <v>1</v>
      </c>
      <c r="K702" t="str">
        <f>IF(tblStudents[[#This Row],[Average Score]]&gt;=60,"Pass","At Risk")</f>
        <v>Pass</v>
      </c>
      <c r="L702" t="str" cm="1">
        <f t="array" ref="L702">_xlfn.IFS(tblStudents[[#This Row],[Average Score]]&gt;=80,"High",tblStudents[[#This Row],[Average Score]]&gt;=60,"Meets Standard",TRUE,"At Risk")</f>
        <v>High</v>
      </c>
      <c r="M7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03" spans="1:13" x14ac:dyDescent="0.25">
      <c r="A703" t="s">
        <v>0</v>
      </c>
      <c r="B703" t="s">
        <v>1</v>
      </c>
      <c r="C703" t="s">
        <v>15</v>
      </c>
      <c r="D703" t="s">
        <v>3</v>
      </c>
      <c r="E703" t="s">
        <v>4</v>
      </c>
      <c r="F703">
        <v>57</v>
      </c>
      <c r="G703">
        <v>67</v>
      </c>
      <c r="H703">
        <v>72</v>
      </c>
      <c r="I703" s="1">
        <f>AVERAGE(tblStudents[[#This Row],[Math Score]],tblStudents[[#This Row],[Reading Score]],tblStudents[[#This Row],[Writing Score]])</f>
        <v>65.333333333333329</v>
      </c>
      <c r="J703">
        <f>IF(tblStudents[[#This Row],[Average Score]]&gt;=60,1,0)</f>
        <v>1</v>
      </c>
      <c r="K703" t="str">
        <f>IF(tblStudents[[#This Row],[Average Score]]&gt;=60,"Pass","At Risk")</f>
        <v>Pass</v>
      </c>
      <c r="L703" t="str" cm="1">
        <f t="array" ref="L703">_xlfn.IFS(tblStudents[[#This Row],[Average Score]]&gt;=80,"High",tblStudents[[#This Row],[Average Score]]&gt;=60,"Meets Standard",TRUE,"At Risk")</f>
        <v>Meets Standard</v>
      </c>
      <c r="M7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704" spans="1:13" x14ac:dyDescent="0.25">
      <c r="A704" t="s">
        <v>9</v>
      </c>
      <c r="B704" t="s">
        <v>10</v>
      </c>
      <c r="C704" t="s">
        <v>2</v>
      </c>
      <c r="D704" t="s">
        <v>3</v>
      </c>
      <c r="E704" t="s">
        <v>7</v>
      </c>
      <c r="F704">
        <v>87</v>
      </c>
      <c r="G704">
        <v>84</v>
      </c>
      <c r="H704">
        <v>87</v>
      </c>
      <c r="I704" s="1">
        <f>AVERAGE(tblStudents[[#This Row],[Math Score]],tblStudents[[#This Row],[Reading Score]],tblStudents[[#This Row],[Writing Score]])</f>
        <v>86</v>
      </c>
      <c r="J704">
        <f>IF(tblStudents[[#This Row],[Average Score]]&gt;=60,1,0)</f>
        <v>1</v>
      </c>
      <c r="K704" t="str">
        <f>IF(tblStudents[[#This Row],[Average Score]]&gt;=60,"Pass","At Risk")</f>
        <v>Pass</v>
      </c>
      <c r="L704" t="str" cm="1">
        <f t="array" ref="L704">_xlfn.IFS(tblStudents[[#This Row],[Average Score]]&gt;=80,"High",tblStudents[[#This Row],[Average Score]]&gt;=60,"Meets Standard",TRUE,"At Risk")</f>
        <v>High</v>
      </c>
      <c r="M7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05" spans="1:13" x14ac:dyDescent="0.25">
      <c r="A705" t="s">
        <v>0</v>
      </c>
      <c r="B705" t="s">
        <v>13</v>
      </c>
      <c r="C705" t="s">
        <v>6</v>
      </c>
      <c r="D705" t="s">
        <v>3</v>
      </c>
      <c r="E705" t="s">
        <v>4</v>
      </c>
      <c r="F705">
        <v>63</v>
      </c>
      <c r="G705">
        <v>64</v>
      </c>
      <c r="H705">
        <v>67</v>
      </c>
      <c r="I705" s="1">
        <f>AVERAGE(tblStudents[[#This Row],[Math Score]],tblStudents[[#This Row],[Reading Score]],tblStudents[[#This Row],[Writing Score]])</f>
        <v>64.666666666666671</v>
      </c>
      <c r="J705">
        <f>IF(tblStudents[[#This Row],[Average Score]]&gt;=60,1,0)</f>
        <v>1</v>
      </c>
      <c r="K705" t="str">
        <f>IF(tblStudents[[#This Row],[Average Score]]&gt;=60,"Pass","At Risk")</f>
        <v>Pass</v>
      </c>
      <c r="L705" t="str" cm="1">
        <f t="array" ref="L705">_xlfn.IFS(tblStudents[[#This Row],[Average Score]]&gt;=80,"High",tblStudents[[#This Row],[Average Score]]&gt;=60,"Meets Standard",TRUE,"At Risk")</f>
        <v>Meets Standard</v>
      </c>
      <c r="M7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706" spans="1:13" x14ac:dyDescent="0.25">
      <c r="A706" t="s">
        <v>0</v>
      </c>
      <c r="B706" t="s">
        <v>1</v>
      </c>
      <c r="C706" t="s">
        <v>15</v>
      </c>
      <c r="D706" t="s">
        <v>12</v>
      </c>
      <c r="E706" t="s">
        <v>7</v>
      </c>
      <c r="F706">
        <v>59</v>
      </c>
      <c r="G706">
        <v>63</v>
      </c>
      <c r="H706">
        <v>64</v>
      </c>
      <c r="I706" s="1">
        <f>AVERAGE(tblStudents[[#This Row],[Math Score]],tblStudents[[#This Row],[Reading Score]],tblStudents[[#This Row],[Writing Score]])</f>
        <v>62</v>
      </c>
      <c r="J706">
        <f>IF(tblStudents[[#This Row],[Average Score]]&gt;=60,1,0)</f>
        <v>1</v>
      </c>
      <c r="K706" t="str">
        <f>IF(tblStudents[[#This Row],[Average Score]]&gt;=60,"Pass","At Risk")</f>
        <v>Pass</v>
      </c>
      <c r="L706" t="str" cm="1">
        <f t="array" ref="L706">_xlfn.IFS(tblStudents[[#This Row],[Average Score]]&gt;=80,"High",tblStudents[[#This Row],[Average Score]]&gt;=60,"Meets Standard",TRUE,"At Risk")</f>
        <v>Meets Standard</v>
      </c>
      <c r="M7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07" spans="1:13" x14ac:dyDescent="0.25">
      <c r="A707" t="s">
        <v>9</v>
      </c>
      <c r="B707" t="s">
        <v>10</v>
      </c>
      <c r="C707" t="s">
        <v>2</v>
      </c>
      <c r="D707" t="s">
        <v>12</v>
      </c>
      <c r="E707" t="s">
        <v>4</v>
      </c>
      <c r="F707">
        <v>62</v>
      </c>
      <c r="G707">
        <v>72</v>
      </c>
      <c r="H707">
        <v>65</v>
      </c>
      <c r="I707" s="1">
        <f>AVERAGE(tblStudents[[#This Row],[Math Score]],tblStudents[[#This Row],[Reading Score]],tblStudents[[#This Row],[Writing Score]])</f>
        <v>66.333333333333329</v>
      </c>
      <c r="J707">
        <f>IF(tblStudents[[#This Row],[Average Score]]&gt;=60,1,0)</f>
        <v>1</v>
      </c>
      <c r="K707" t="str">
        <f>IF(tblStudents[[#This Row],[Average Score]]&gt;=60,"Pass","At Risk")</f>
        <v>Pass</v>
      </c>
      <c r="L707" t="str" cm="1">
        <f t="array" ref="L707">_xlfn.IFS(tblStudents[[#This Row],[Average Score]]&gt;=80,"High",tblStudents[[#This Row],[Average Score]]&gt;=60,"Meets Standard",TRUE,"At Risk")</f>
        <v>Meets Standard</v>
      </c>
      <c r="M7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08" spans="1:13" x14ac:dyDescent="0.25">
      <c r="A708" t="s">
        <v>9</v>
      </c>
      <c r="B708" t="s">
        <v>13</v>
      </c>
      <c r="C708" t="s">
        <v>14</v>
      </c>
      <c r="D708" t="s">
        <v>3</v>
      </c>
      <c r="E708" t="s">
        <v>4</v>
      </c>
      <c r="F708">
        <v>46</v>
      </c>
      <c r="G708">
        <v>34</v>
      </c>
      <c r="H708">
        <v>36</v>
      </c>
      <c r="I708" s="1">
        <f>AVERAGE(tblStudents[[#This Row],[Math Score]],tblStudents[[#This Row],[Reading Score]],tblStudents[[#This Row],[Writing Score]])</f>
        <v>38.666666666666664</v>
      </c>
      <c r="J708">
        <f>IF(tblStudents[[#This Row],[Average Score]]&gt;=60,1,0)</f>
        <v>0</v>
      </c>
      <c r="K708" t="str">
        <f>IF(tblStudents[[#This Row],[Average Score]]&gt;=60,"Pass","At Risk")</f>
        <v>At Risk</v>
      </c>
      <c r="L708" t="str" cm="1">
        <f t="array" ref="L708">_xlfn.IFS(tblStudents[[#This Row],[Average Score]]&gt;=80,"High",tblStudents[[#This Row],[Average Score]]&gt;=60,"Meets Standard",TRUE,"At Risk")</f>
        <v>At Risk</v>
      </c>
      <c r="M7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09" spans="1:13" x14ac:dyDescent="0.25">
      <c r="A709" t="s">
        <v>9</v>
      </c>
      <c r="B709" t="s">
        <v>5</v>
      </c>
      <c r="C709" t="s">
        <v>6</v>
      </c>
      <c r="D709" t="s">
        <v>3</v>
      </c>
      <c r="E709" t="s">
        <v>4</v>
      </c>
      <c r="F709">
        <v>66</v>
      </c>
      <c r="G709">
        <v>59</v>
      </c>
      <c r="H709">
        <v>52</v>
      </c>
      <c r="I709" s="1">
        <f>AVERAGE(tblStudents[[#This Row],[Math Score]],tblStudents[[#This Row],[Reading Score]],tblStudents[[#This Row],[Writing Score]])</f>
        <v>59</v>
      </c>
      <c r="J709">
        <f>IF(tblStudents[[#This Row],[Average Score]]&gt;=60,1,0)</f>
        <v>0</v>
      </c>
      <c r="K709" t="str">
        <f>IF(tblStudents[[#This Row],[Average Score]]&gt;=60,"Pass","At Risk")</f>
        <v>At Risk</v>
      </c>
      <c r="L709" t="str" cm="1">
        <f t="array" ref="L709">_xlfn.IFS(tblStudents[[#This Row],[Average Score]]&gt;=80,"High",tblStudents[[#This Row],[Average Score]]&gt;=60,"Meets Standard",TRUE,"At Risk")</f>
        <v>At Risk</v>
      </c>
      <c r="M7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710" spans="1:13" x14ac:dyDescent="0.25">
      <c r="A710" t="s">
        <v>9</v>
      </c>
      <c r="B710" t="s">
        <v>13</v>
      </c>
      <c r="C710" t="s">
        <v>14</v>
      </c>
      <c r="D710" t="s">
        <v>3</v>
      </c>
      <c r="E710" t="s">
        <v>4</v>
      </c>
      <c r="F710">
        <v>89</v>
      </c>
      <c r="G710">
        <v>87</v>
      </c>
      <c r="H710">
        <v>79</v>
      </c>
      <c r="I710" s="1">
        <f>AVERAGE(tblStudents[[#This Row],[Math Score]],tblStudents[[#This Row],[Reading Score]],tblStudents[[#This Row],[Writing Score]])</f>
        <v>85</v>
      </c>
      <c r="J710">
        <f>IF(tblStudents[[#This Row],[Average Score]]&gt;=60,1,0)</f>
        <v>1</v>
      </c>
      <c r="K710" t="str">
        <f>IF(tblStudents[[#This Row],[Average Score]]&gt;=60,"Pass","At Risk")</f>
        <v>Pass</v>
      </c>
      <c r="L710" t="str" cm="1">
        <f t="array" ref="L710">_xlfn.IFS(tblStudents[[#This Row],[Average Score]]&gt;=80,"High",tblStudents[[#This Row],[Average Score]]&gt;=60,"Meets Standard",TRUE,"At Risk")</f>
        <v>High</v>
      </c>
      <c r="M7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11" spans="1:13" x14ac:dyDescent="0.25">
      <c r="A711" t="s">
        <v>0</v>
      </c>
      <c r="B711" t="s">
        <v>13</v>
      </c>
      <c r="C711" t="s">
        <v>11</v>
      </c>
      <c r="D711" t="s">
        <v>12</v>
      </c>
      <c r="E711" t="s">
        <v>7</v>
      </c>
      <c r="F711">
        <v>42</v>
      </c>
      <c r="G711">
        <v>61</v>
      </c>
      <c r="H711">
        <v>58</v>
      </c>
      <c r="I711" s="1">
        <f>AVERAGE(tblStudents[[#This Row],[Math Score]],tblStudents[[#This Row],[Reading Score]],tblStudents[[#This Row],[Writing Score]])</f>
        <v>53.666666666666664</v>
      </c>
      <c r="J711">
        <f>IF(tblStudents[[#This Row],[Average Score]]&gt;=60,1,0)</f>
        <v>0</v>
      </c>
      <c r="K711" t="str">
        <f>IF(tblStudents[[#This Row],[Average Score]]&gt;=60,"Pass","At Risk")</f>
        <v>At Risk</v>
      </c>
      <c r="L711" t="str" cm="1">
        <f t="array" ref="L711">_xlfn.IFS(tblStudents[[#This Row],[Average Score]]&gt;=80,"High",tblStudents[[#This Row],[Average Score]]&gt;=60,"Meets Standard",TRUE,"At Risk")</f>
        <v>At Risk</v>
      </c>
      <c r="M7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712" spans="1:13" x14ac:dyDescent="0.25">
      <c r="A712" t="s">
        <v>9</v>
      </c>
      <c r="B712" t="s">
        <v>5</v>
      </c>
      <c r="C712" t="s">
        <v>6</v>
      </c>
      <c r="D712" t="s">
        <v>3</v>
      </c>
      <c r="E712" t="s">
        <v>7</v>
      </c>
      <c r="F712">
        <v>93</v>
      </c>
      <c r="G712">
        <v>84</v>
      </c>
      <c r="H712">
        <v>90</v>
      </c>
      <c r="I712" s="1">
        <f>AVERAGE(tblStudents[[#This Row],[Math Score]],tblStudents[[#This Row],[Reading Score]],tblStudents[[#This Row],[Writing Score]])</f>
        <v>89</v>
      </c>
      <c r="J712">
        <f>IF(tblStudents[[#This Row],[Average Score]]&gt;=60,1,0)</f>
        <v>1</v>
      </c>
      <c r="K712" t="str">
        <f>IF(tblStudents[[#This Row],[Average Score]]&gt;=60,"Pass","At Risk")</f>
        <v>Pass</v>
      </c>
      <c r="L712" t="str" cm="1">
        <f t="array" ref="L712">_xlfn.IFS(tblStudents[[#This Row],[Average Score]]&gt;=80,"High",tblStudents[[#This Row],[Average Score]]&gt;=60,"Meets Standard",TRUE,"At Risk")</f>
        <v>High</v>
      </c>
      <c r="M7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713" spans="1:13" x14ac:dyDescent="0.25">
      <c r="A713" t="s">
        <v>0</v>
      </c>
      <c r="B713" t="s">
        <v>16</v>
      </c>
      <c r="C713" t="s">
        <v>15</v>
      </c>
      <c r="D713" t="s">
        <v>3</v>
      </c>
      <c r="E713" t="s">
        <v>7</v>
      </c>
      <c r="F713">
        <v>80</v>
      </c>
      <c r="G713">
        <v>85</v>
      </c>
      <c r="H713">
        <v>85</v>
      </c>
      <c r="I713" s="1">
        <f>AVERAGE(tblStudents[[#This Row],[Math Score]],tblStudents[[#This Row],[Reading Score]],tblStudents[[#This Row],[Writing Score]])</f>
        <v>83.333333333333329</v>
      </c>
      <c r="J713">
        <f>IF(tblStudents[[#This Row],[Average Score]]&gt;=60,1,0)</f>
        <v>1</v>
      </c>
      <c r="K713" t="str">
        <f>IF(tblStudents[[#This Row],[Average Score]]&gt;=60,"Pass","At Risk")</f>
        <v>Pass</v>
      </c>
      <c r="L713" t="str" cm="1">
        <f t="array" ref="L713">_xlfn.IFS(tblStudents[[#This Row],[Average Score]]&gt;=80,"High",tblStudents[[#This Row],[Average Score]]&gt;=60,"Meets Standard",TRUE,"At Risk")</f>
        <v>High</v>
      </c>
      <c r="M7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14" spans="1:13" x14ac:dyDescent="0.25">
      <c r="A714" t="s">
        <v>0</v>
      </c>
      <c r="B714" t="s">
        <v>13</v>
      </c>
      <c r="C714" t="s">
        <v>6</v>
      </c>
      <c r="D714" t="s">
        <v>3</v>
      </c>
      <c r="E714" t="s">
        <v>4</v>
      </c>
      <c r="F714">
        <v>98</v>
      </c>
      <c r="G714">
        <v>100</v>
      </c>
      <c r="H714">
        <v>99</v>
      </c>
      <c r="I714" s="1">
        <f>AVERAGE(tblStudents[[#This Row],[Math Score]],tblStudents[[#This Row],[Reading Score]],tblStudents[[#This Row],[Writing Score]])</f>
        <v>99</v>
      </c>
      <c r="J714">
        <f>IF(tblStudents[[#This Row],[Average Score]]&gt;=60,1,0)</f>
        <v>1</v>
      </c>
      <c r="K714" t="str">
        <f>IF(tblStudents[[#This Row],[Average Score]]&gt;=60,"Pass","At Risk")</f>
        <v>Pass</v>
      </c>
      <c r="L714" t="str" cm="1">
        <f t="array" ref="L714">_xlfn.IFS(tblStudents[[#This Row],[Average Score]]&gt;=80,"High",tblStudents[[#This Row],[Average Score]]&gt;=60,"Meets Standard",TRUE,"At Risk")</f>
        <v>High</v>
      </c>
      <c r="M7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715" spans="1:13" x14ac:dyDescent="0.25">
      <c r="A715" t="s">
        <v>9</v>
      </c>
      <c r="B715" t="s">
        <v>13</v>
      </c>
      <c r="C715" t="s">
        <v>8</v>
      </c>
      <c r="D715" t="s">
        <v>3</v>
      </c>
      <c r="E715" t="s">
        <v>4</v>
      </c>
      <c r="F715">
        <v>81</v>
      </c>
      <c r="G715">
        <v>81</v>
      </c>
      <c r="H715">
        <v>84</v>
      </c>
      <c r="I715" s="1">
        <f>AVERAGE(tblStudents[[#This Row],[Math Score]],tblStudents[[#This Row],[Reading Score]],tblStudents[[#This Row],[Writing Score]])</f>
        <v>82</v>
      </c>
      <c r="J715">
        <f>IF(tblStudents[[#This Row],[Average Score]]&gt;=60,1,0)</f>
        <v>1</v>
      </c>
      <c r="K715" t="str">
        <f>IF(tblStudents[[#This Row],[Average Score]]&gt;=60,"Pass","At Risk")</f>
        <v>Pass</v>
      </c>
      <c r="L715" t="str" cm="1">
        <f t="array" ref="L715">_xlfn.IFS(tblStudents[[#This Row],[Average Score]]&gt;=80,"High",tblStudents[[#This Row],[Average Score]]&gt;=60,"Meets Standard",TRUE,"At Risk")</f>
        <v>High</v>
      </c>
      <c r="M7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16" spans="1:13" x14ac:dyDescent="0.25">
      <c r="A716" t="s">
        <v>0</v>
      </c>
      <c r="B716" t="s">
        <v>1</v>
      </c>
      <c r="C716" t="s">
        <v>15</v>
      </c>
      <c r="D716" t="s">
        <v>3</v>
      </c>
      <c r="E716" t="s">
        <v>7</v>
      </c>
      <c r="F716">
        <v>60</v>
      </c>
      <c r="G716">
        <v>70</v>
      </c>
      <c r="H716">
        <v>74</v>
      </c>
      <c r="I716" s="1">
        <f>AVERAGE(tblStudents[[#This Row],[Math Score]],tblStudents[[#This Row],[Reading Score]],tblStudents[[#This Row],[Writing Score]])</f>
        <v>68</v>
      </c>
      <c r="J716">
        <f>IF(tblStudents[[#This Row],[Average Score]]&gt;=60,1,0)</f>
        <v>1</v>
      </c>
      <c r="K716" t="str">
        <f>IF(tblStudents[[#This Row],[Average Score]]&gt;=60,"Pass","At Risk")</f>
        <v>Pass</v>
      </c>
      <c r="L716" t="str" cm="1">
        <f t="array" ref="L716">_xlfn.IFS(tblStudents[[#This Row],[Average Score]]&gt;=80,"High",tblStudents[[#This Row],[Average Score]]&gt;=60,"Meets Standard",TRUE,"At Risk")</f>
        <v>Meets Standard</v>
      </c>
      <c r="M7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717" spans="1:13" x14ac:dyDescent="0.25">
      <c r="A717" t="s">
        <v>0</v>
      </c>
      <c r="B717" t="s">
        <v>1</v>
      </c>
      <c r="C717" t="s">
        <v>11</v>
      </c>
      <c r="D717" t="s">
        <v>12</v>
      </c>
      <c r="E717" t="s">
        <v>7</v>
      </c>
      <c r="F717">
        <v>76</v>
      </c>
      <c r="G717">
        <v>94</v>
      </c>
      <c r="H717">
        <v>87</v>
      </c>
      <c r="I717" s="1">
        <f>AVERAGE(tblStudents[[#This Row],[Math Score]],tblStudents[[#This Row],[Reading Score]],tblStudents[[#This Row],[Writing Score]])</f>
        <v>85.666666666666671</v>
      </c>
      <c r="J717">
        <f>IF(tblStudents[[#This Row],[Average Score]]&gt;=60,1,0)</f>
        <v>1</v>
      </c>
      <c r="K717" t="str">
        <f>IF(tblStudents[[#This Row],[Average Score]]&gt;=60,"Pass","At Risk")</f>
        <v>Pass</v>
      </c>
      <c r="L717" t="str" cm="1">
        <f t="array" ref="L717">_xlfn.IFS(tblStudents[[#This Row],[Average Score]]&gt;=80,"High",tblStudents[[#This Row],[Average Score]]&gt;=60,"Meets Standard",TRUE,"At Risk")</f>
        <v>High</v>
      </c>
      <c r="M7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718" spans="1:13" x14ac:dyDescent="0.25">
      <c r="A718" t="s">
        <v>9</v>
      </c>
      <c r="B718" t="s">
        <v>5</v>
      </c>
      <c r="C718" t="s">
        <v>11</v>
      </c>
      <c r="D718" t="s">
        <v>3</v>
      </c>
      <c r="E718" t="s">
        <v>7</v>
      </c>
      <c r="F718">
        <v>73</v>
      </c>
      <c r="G718">
        <v>78</v>
      </c>
      <c r="H718">
        <v>72</v>
      </c>
      <c r="I718" s="1">
        <f>AVERAGE(tblStudents[[#This Row],[Math Score]],tblStudents[[#This Row],[Reading Score]],tblStudents[[#This Row],[Writing Score]])</f>
        <v>74.333333333333329</v>
      </c>
      <c r="J718">
        <f>IF(tblStudents[[#This Row],[Average Score]]&gt;=60,1,0)</f>
        <v>1</v>
      </c>
      <c r="K718" t="str">
        <f>IF(tblStudents[[#This Row],[Average Score]]&gt;=60,"Pass","At Risk")</f>
        <v>Pass</v>
      </c>
      <c r="L718" t="str" cm="1">
        <f t="array" ref="L718">_xlfn.IFS(tblStudents[[#This Row],[Average Score]]&gt;=80,"High",tblStudents[[#This Row],[Average Score]]&gt;=60,"Meets Standard",TRUE,"At Risk")</f>
        <v>Meets Standard</v>
      </c>
      <c r="M7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19" spans="1:13" x14ac:dyDescent="0.25">
      <c r="A719" t="s">
        <v>0</v>
      </c>
      <c r="B719" t="s">
        <v>5</v>
      </c>
      <c r="C719" t="s">
        <v>11</v>
      </c>
      <c r="D719" t="s">
        <v>3</v>
      </c>
      <c r="E719" t="s">
        <v>7</v>
      </c>
      <c r="F719">
        <v>96</v>
      </c>
      <c r="G719">
        <v>96</v>
      </c>
      <c r="H719">
        <v>99</v>
      </c>
      <c r="I719" s="1">
        <f>AVERAGE(tblStudents[[#This Row],[Math Score]],tblStudents[[#This Row],[Reading Score]],tblStudents[[#This Row],[Writing Score]])</f>
        <v>97</v>
      </c>
      <c r="J719">
        <f>IF(tblStudents[[#This Row],[Average Score]]&gt;=60,1,0)</f>
        <v>1</v>
      </c>
      <c r="K719" t="str">
        <f>IF(tblStudents[[#This Row],[Average Score]]&gt;=60,"Pass","At Risk")</f>
        <v>Pass</v>
      </c>
      <c r="L719" t="str" cm="1">
        <f t="array" ref="L719">_xlfn.IFS(tblStudents[[#This Row],[Average Score]]&gt;=80,"High",tblStudents[[#This Row],[Average Score]]&gt;=60,"Meets Standard",TRUE,"At Risk")</f>
        <v>High</v>
      </c>
      <c r="M7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20" spans="1:13" x14ac:dyDescent="0.25">
      <c r="A720" t="s">
        <v>0</v>
      </c>
      <c r="B720" t="s">
        <v>5</v>
      </c>
      <c r="C720" t="s">
        <v>14</v>
      </c>
      <c r="D720" t="s">
        <v>3</v>
      </c>
      <c r="E720" t="s">
        <v>4</v>
      </c>
      <c r="F720">
        <v>76</v>
      </c>
      <c r="G720">
        <v>76</v>
      </c>
      <c r="H720">
        <v>74</v>
      </c>
      <c r="I720" s="1">
        <f>AVERAGE(tblStudents[[#This Row],[Math Score]],tblStudents[[#This Row],[Reading Score]],tblStudents[[#This Row],[Writing Score]])</f>
        <v>75.333333333333329</v>
      </c>
      <c r="J720">
        <f>IF(tblStudents[[#This Row],[Average Score]]&gt;=60,1,0)</f>
        <v>1</v>
      </c>
      <c r="K720" t="str">
        <f>IF(tblStudents[[#This Row],[Average Score]]&gt;=60,"Pass","At Risk")</f>
        <v>Pass</v>
      </c>
      <c r="L720" t="str" cm="1">
        <f t="array" ref="L720">_xlfn.IFS(tblStudents[[#This Row],[Average Score]]&gt;=80,"High",tblStudents[[#This Row],[Average Score]]&gt;=60,"Meets Standard",TRUE,"At Risk")</f>
        <v>Meets Standard</v>
      </c>
      <c r="M7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721" spans="1:13" x14ac:dyDescent="0.25">
      <c r="A721" t="s">
        <v>9</v>
      </c>
      <c r="B721" t="s">
        <v>16</v>
      </c>
      <c r="C721" t="s">
        <v>11</v>
      </c>
      <c r="D721" t="s">
        <v>12</v>
      </c>
      <c r="E721" t="s">
        <v>7</v>
      </c>
      <c r="F721">
        <v>91</v>
      </c>
      <c r="G721">
        <v>73</v>
      </c>
      <c r="H721">
        <v>80</v>
      </c>
      <c r="I721" s="1">
        <f>AVERAGE(tblStudents[[#This Row],[Math Score]],tblStudents[[#This Row],[Reading Score]],tblStudents[[#This Row],[Writing Score]])</f>
        <v>81.333333333333329</v>
      </c>
      <c r="J721">
        <f>IF(tblStudents[[#This Row],[Average Score]]&gt;=60,1,0)</f>
        <v>1</v>
      </c>
      <c r="K721" t="str">
        <f>IF(tblStudents[[#This Row],[Average Score]]&gt;=60,"Pass","At Risk")</f>
        <v>Pass</v>
      </c>
      <c r="L721" t="str" cm="1">
        <f t="array" ref="L721">_xlfn.IFS(tblStudents[[#This Row],[Average Score]]&gt;=80,"High",tblStudents[[#This Row],[Average Score]]&gt;=60,"Meets Standard",TRUE,"At Risk")</f>
        <v>High</v>
      </c>
      <c r="M7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722" spans="1:13" x14ac:dyDescent="0.25">
      <c r="A722" t="s">
        <v>0</v>
      </c>
      <c r="B722" t="s">
        <v>5</v>
      </c>
      <c r="C722" t="s">
        <v>6</v>
      </c>
      <c r="D722" t="s">
        <v>12</v>
      </c>
      <c r="E722" t="s">
        <v>4</v>
      </c>
      <c r="F722">
        <v>62</v>
      </c>
      <c r="G722">
        <v>72</v>
      </c>
      <c r="H722">
        <v>70</v>
      </c>
      <c r="I722" s="1">
        <f>AVERAGE(tblStudents[[#This Row],[Math Score]],tblStudents[[#This Row],[Reading Score]],tblStudents[[#This Row],[Writing Score]])</f>
        <v>68</v>
      </c>
      <c r="J722">
        <f>IF(tblStudents[[#This Row],[Average Score]]&gt;=60,1,0)</f>
        <v>1</v>
      </c>
      <c r="K722" t="str">
        <f>IF(tblStudents[[#This Row],[Average Score]]&gt;=60,"Pass","At Risk")</f>
        <v>Pass</v>
      </c>
      <c r="L722" t="str" cm="1">
        <f t="array" ref="L722">_xlfn.IFS(tblStudents[[#This Row],[Average Score]]&gt;=80,"High",tblStudents[[#This Row],[Average Score]]&gt;=60,"Meets Standard",TRUE,"At Risk")</f>
        <v>Meets Standard</v>
      </c>
      <c r="M7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23" spans="1:13" x14ac:dyDescent="0.25">
      <c r="A723" t="s">
        <v>9</v>
      </c>
      <c r="B723" t="s">
        <v>13</v>
      </c>
      <c r="C723" t="s">
        <v>15</v>
      </c>
      <c r="D723" t="s">
        <v>12</v>
      </c>
      <c r="E723" t="s">
        <v>7</v>
      </c>
      <c r="F723">
        <v>55</v>
      </c>
      <c r="G723">
        <v>59</v>
      </c>
      <c r="H723">
        <v>59</v>
      </c>
      <c r="I723" s="1">
        <f>AVERAGE(tblStudents[[#This Row],[Math Score]],tblStudents[[#This Row],[Reading Score]],tblStudents[[#This Row],[Writing Score]])</f>
        <v>57.666666666666664</v>
      </c>
      <c r="J723">
        <f>IF(tblStudents[[#This Row],[Average Score]]&gt;=60,1,0)</f>
        <v>0</v>
      </c>
      <c r="K723" t="str">
        <f>IF(tblStudents[[#This Row],[Average Score]]&gt;=60,"Pass","At Risk")</f>
        <v>At Risk</v>
      </c>
      <c r="L723" t="str" cm="1">
        <f t="array" ref="L723">_xlfn.IFS(tblStudents[[#This Row],[Average Score]]&gt;=80,"High",tblStudents[[#This Row],[Average Score]]&gt;=60,"Meets Standard",TRUE,"At Risk")</f>
        <v>At Risk</v>
      </c>
      <c r="M7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724" spans="1:13" x14ac:dyDescent="0.25">
      <c r="A724" t="s">
        <v>0</v>
      </c>
      <c r="B724" t="s">
        <v>1</v>
      </c>
      <c r="C724" t="s">
        <v>15</v>
      </c>
      <c r="D724" t="s">
        <v>12</v>
      </c>
      <c r="E724" t="s">
        <v>7</v>
      </c>
      <c r="F724">
        <v>74</v>
      </c>
      <c r="G724">
        <v>90</v>
      </c>
      <c r="H724">
        <v>88</v>
      </c>
      <c r="I724" s="1">
        <f>AVERAGE(tblStudents[[#This Row],[Math Score]],tblStudents[[#This Row],[Reading Score]],tblStudents[[#This Row],[Writing Score]])</f>
        <v>84</v>
      </c>
      <c r="J724">
        <f>IF(tblStudents[[#This Row],[Average Score]]&gt;=60,1,0)</f>
        <v>1</v>
      </c>
      <c r="K724" t="str">
        <f>IF(tblStudents[[#This Row],[Average Score]]&gt;=60,"Pass","At Risk")</f>
        <v>Pass</v>
      </c>
      <c r="L724" t="str" cm="1">
        <f t="array" ref="L724">_xlfn.IFS(tblStudents[[#This Row],[Average Score]]&gt;=80,"High",tblStudents[[#This Row],[Average Score]]&gt;=60,"Meets Standard",TRUE,"At Risk")</f>
        <v>High</v>
      </c>
      <c r="M7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725" spans="1:13" x14ac:dyDescent="0.25">
      <c r="A725" t="s">
        <v>9</v>
      </c>
      <c r="B725" t="s">
        <v>5</v>
      </c>
      <c r="C725" t="s">
        <v>14</v>
      </c>
      <c r="D725" t="s">
        <v>3</v>
      </c>
      <c r="E725" t="s">
        <v>4</v>
      </c>
      <c r="F725">
        <v>50</v>
      </c>
      <c r="G725">
        <v>48</v>
      </c>
      <c r="H725">
        <v>42</v>
      </c>
      <c r="I725" s="1">
        <f>AVERAGE(tblStudents[[#This Row],[Math Score]],tblStudents[[#This Row],[Reading Score]],tblStudents[[#This Row],[Writing Score]])</f>
        <v>46.666666666666664</v>
      </c>
      <c r="J725">
        <f>IF(tblStudents[[#This Row],[Average Score]]&gt;=60,1,0)</f>
        <v>0</v>
      </c>
      <c r="K725" t="str">
        <f>IF(tblStudents[[#This Row],[Average Score]]&gt;=60,"Pass","At Risk")</f>
        <v>At Risk</v>
      </c>
      <c r="L725" t="str" cm="1">
        <f t="array" ref="L725">_xlfn.IFS(tblStudents[[#This Row],[Average Score]]&gt;=80,"High",tblStudents[[#This Row],[Average Score]]&gt;=60,"Meets Standard",TRUE,"At Risk")</f>
        <v>At Risk</v>
      </c>
      <c r="M7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26" spans="1:13" x14ac:dyDescent="0.25">
      <c r="A726" t="s">
        <v>9</v>
      </c>
      <c r="B726" t="s">
        <v>1</v>
      </c>
      <c r="C726" t="s">
        <v>6</v>
      </c>
      <c r="D726" t="s">
        <v>3</v>
      </c>
      <c r="E726" t="s">
        <v>4</v>
      </c>
      <c r="F726">
        <v>47</v>
      </c>
      <c r="G726">
        <v>43</v>
      </c>
      <c r="H726">
        <v>41</v>
      </c>
      <c r="I726" s="1">
        <f>AVERAGE(tblStudents[[#This Row],[Math Score]],tblStudents[[#This Row],[Reading Score]],tblStudents[[#This Row],[Writing Score]])</f>
        <v>43.666666666666664</v>
      </c>
      <c r="J726">
        <f>IF(tblStudents[[#This Row],[Average Score]]&gt;=60,1,0)</f>
        <v>0</v>
      </c>
      <c r="K726" t="str">
        <f>IF(tblStudents[[#This Row],[Average Score]]&gt;=60,"Pass","At Risk")</f>
        <v>At Risk</v>
      </c>
      <c r="L726" t="str" cm="1">
        <f t="array" ref="L726">_xlfn.IFS(tblStudents[[#This Row],[Average Score]]&gt;=80,"High",tblStudents[[#This Row],[Average Score]]&gt;=60,"Meets Standard",TRUE,"At Risk")</f>
        <v>At Risk</v>
      </c>
      <c r="M7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27" spans="1:13" x14ac:dyDescent="0.25">
      <c r="A727" t="s">
        <v>9</v>
      </c>
      <c r="B727" t="s">
        <v>16</v>
      </c>
      <c r="C727" t="s">
        <v>6</v>
      </c>
      <c r="D727" t="s">
        <v>3</v>
      </c>
      <c r="E727" t="s">
        <v>7</v>
      </c>
      <c r="F727">
        <v>81</v>
      </c>
      <c r="G727">
        <v>74</v>
      </c>
      <c r="H727">
        <v>71</v>
      </c>
      <c r="I727" s="1">
        <f>AVERAGE(tblStudents[[#This Row],[Math Score]],tblStudents[[#This Row],[Reading Score]],tblStudents[[#This Row],[Writing Score]])</f>
        <v>75.333333333333329</v>
      </c>
      <c r="J727">
        <f>IF(tblStudents[[#This Row],[Average Score]]&gt;=60,1,0)</f>
        <v>1</v>
      </c>
      <c r="K727" t="str">
        <f>IF(tblStudents[[#This Row],[Average Score]]&gt;=60,"Pass","At Risk")</f>
        <v>Pass</v>
      </c>
      <c r="L727" t="str" cm="1">
        <f t="array" ref="L727">_xlfn.IFS(tblStudents[[#This Row],[Average Score]]&gt;=80,"High",tblStudents[[#This Row],[Average Score]]&gt;=60,"Meets Standard",TRUE,"At Risk")</f>
        <v>Meets Standard</v>
      </c>
      <c r="M7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28" spans="1:13" x14ac:dyDescent="0.25">
      <c r="A728" t="s">
        <v>0</v>
      </c>
      <c r="B728" t="s">
        <v>16</v>
      </c>
      <c r="C728" t="s">
        <v>11</v>
      </c>
      <c r="D728" t="s">
        <v>3</v>
      </c>
      <c r="E728" t="s">
        <v>7</v>
      </c>
      <c r="F728">
        <v>65</v>
      </c>
      <c r="G728">
        <v>75</v>
      </c>
      <c r="H728">
        <v>77</v>
      </c>
      <c r="I728" s="1">
        <f>AVERAGE(tblStudents[[#This Row],[Math Score]],tblStudents[[#This Row],[Reading Score]],tblStudents[[#This Row],[Writing Score]])</f>
        <v>72.333333333333329</v>
      </c>
      <c r="J728">
        <f>IF(tblStudents[[#This Row],[Average Score]]&gt;=60,1,0)</f>
        <v>1</v>
      </c>
      <c r="K728" t="str">
        <f>IF(tblStudents[[#This Row],[Average Score]]&gt;=60,"Pass","At Risk")</f>
        <v>Pass</v>
      </c>
      <c r="L728" t="str" cm="1">
        <f t="array" ref="L728">_xlfn.IFS(tblStudents[[#This Row],[Average Score]]&gt;=80,"High",tblStudents[[#This Row],[Average Score]]&gt;=60,"Meets Standard",TRUE,"At Risk")</f>
        <v>Meets Standard</v>
      </c>
      <c r="M7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29" spans="1:13" x14ac:dyDescent="0.25">
      <c r="A729" t="s">
        <v>9</v>
      </c>
      <c r="B729" t="s">
        <v>16</v>
      </c>
      <c r="C729" t="s">
        <v>15</v>
      </c>
      <c r="D729" t="s">
        <v>3</v>
      </c>
      <c r="E729" t="s">
        <v>7</v>
      </c>
      <c r="F729">
        <v>68</v>
      </c>
      <c r="G729">
        <v>51</v>
      </c>
      <c r="H729">
        <v>57</v>
      </c>
      <c r="I729" s="1">
        <f>AVERAGE(tblStudents[[#This Row],[Math Score]],tblStudents[[#This Row],[Reading Score]],tblStudents[[#This Row],[Writing Score]])</f>
        <v>58.666666666666664</v>
      </c>
      <c r="J729">
        <f>IF(tblStudents[[#This Row],[Average Score]]&gt;=60,1,0)</f>
        <v>0</v>
      </c>
      <c r="K729" t="str">
        <f>IF(tblStudents[[#This Row],[Average Score]]&gt;=60,"Pass","At Risk")</f>
        <v>At Risk</v>
      </c>
      <c r="L729" t="str" cm="1">
        <f t="array" ref="L729">_xlfn.IFS(tblStudents[[#This Row],[Average Score]]&gt;=80,"High",tblStudents[[#This Row],[Average Score]]&gt;=60,"Meets Standard",TRUE,"At Risk")</f>
        <v>At Risk</v>
      </c>
      <c r="M7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730" spans="1:13" x14ac:dyDescent="0.25">
      <c r="A730" t="s">
        <v>0</v>
      </c>
      <c r="B730" t="s">
        <v>13</v>
      </c>
      <c r="C730" t="s">
        <v>14</v>
      </c>
      <c r="D730" t="s">
        <v>12</v>
      </c>
      <c r="E730" t="s">
        <v>4</v>
      </c>
      <c r="F730">
        <v>73</v>
      </c>
      <c r="G730">
        <v>92</v>
      </c>
      <c r="H730">
        <v>84</v>
      </c>
      <c r="I730" s="1">
        <f>AVERAGE(tblStudents[[#This Row],[Math Score]],tblStudents[[#This Row],[Reading Score]],tblStudents[[#This Row],[Writing Score]])</f>
        <v>83</v>
      </c>
      <c r="J730">
        <f>IF(tblStudents[[#This Row],[Average Score]]&gt;=60,1,0)</f>
        <v>1</v>
      </c>
      <c r="K730" t="str">
        <f>IF(tblStudents[[#This Row],[Average Score]]&gt;=60,"Pass","At Risk")</f>
        <v>Pass</v>
      </c>
      <c r="L730" t="str" cm="1">
        <f t="array" ref="L730">_xlfn.IFS(tblStudents[[#This Row],[Average Score]]&gt;=80,"High",tblStudents[[#This Row],[Average Score]]&gt;=60,"Meets Standard",TRUE,"At Risk")</f>
        <v>High</v>
      </c>
      <c r="M7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731" spans="1:13" x14ac:dyDescent="0.25">
      <c r="A731" t="s">
        <v>9</v>
      </c>
      <c r="B731" t="s">
        <v>5</v>
      </c>
      <c r="C731" t="s">
        <v>6</v>
      </c>
      <c r="D731" t="s">
        <v>3</v>
      </c>
      <c r="E731" t="s">
        <v>4</v>
      </c>
      <c r="F731">
        <v>53</v>
      </c>
      <c r="G731">
        <v>39</v>
      </c>
      <c r="H731">
        <v>37</v>
      </c>
      <c r="I731" s="1">
        <f>AVERAGE(tblStudents[[#This Row],[Math Score]],tblStudents[[#This Row],[Reading Score]],tblStudents[[#This Row],[Writing Score]])</f>
        <v>43</v>
      </c>
      <c r="J731">
        <f>IF(tblStudents[[#This Row],[Average Score]]&gt;=60,1,0)</f>
        <v>0</v>
      </c>
      <c r="K731" t="str">
        <f>IF(tblStudents[[#This Row],[Average Score]]&gt;=60,"Pass","At Risk")</f>
        <v>At Risk</v>
      </c>
      <c r="L731" t="str" cm="1">
        <f t="array" ref="L731">_xlfn.IFS(tblStudents[[#This Row],[Average Score]]&gt;=80,"High",tblStudents[[#This Row],[Average Score]]&gt;=60,"Meets Standard",TRUE,"At Risk")</f>
        <v>At Risk</v>
      </c>
      <c r="M7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732" spans="1:13" x14ac:dyDescent="0.25">
      <c r="A732" t="s">
        <v>0</v>
      </c>
      <c r="B732" t="s">
        <v>1</v>
      </c>
      <c r="C732" t="s">
        <v>11</v>
      </c>
      <c r="D732" t="s">
        <v>12</v>
      </c>
      <c r="E732" t="s">
        <v>7</v>
      </c>
      <c r="F732">
        <v>68</v>
      </c>
      <c r="G732">
        <v>77</v>
      </c>
      <c r="H732">
        <v>80</v>
      </c>
      <c r="I732" s="1">
        <f>AVERAGE(tblStudents[[#This Row],[Math Score]],tblStudents[[#This Row],[Reading Score]],tblStudents[[#This Row],[Writing Score]])</f>
        <v>75</v>
      </c>
      <c r="J732">
        <f>IF(tblStudents[[#This Row],[Average Score]]&gt;=60,1,0)</f>
        <v>1</v>
      </c>
      <c r="K732" t="str">
        <f>IF(tblStudents[[#This Row],[Average Score]]&gt;=60,"Pass","At Risk")</f>
        <v>Pass</v>
      </c>
      <c r="L732" t="str" cm="1">
        <f t="array" ref="L732">_xlfn.IFS(tblStudents[[#This Row],[Average Score]]&gt;=80,"High",tblStudents[[#This Row],[Average Score]]&gt;=60,"Meets Standard",TRUE,"At Risk")</f>
        <v>Meets Standard</v>
      </c>
      <c r="M7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33" spans="1:13" x14ac:dyDescent="0.25">
      <c r="A733" t="s">
        <v>9</v>
      </c>
      <c r="B733" t="s">
        <v>10</v>
      </c>
      <c r="C733" t="s">
        <v>15</v>
      </c>
      <c r="D733" t="s">
        <v>12</v>
      </c>
      <c r="E733" t="s">
        <v>4</v>
      </c>
      <c r="F733">
        <v>55</v>
      </c>
      <c r="G733">
        <v>46</v>
      </c>
      <c r="H733">
        <v>43</v>
      </c>
      <c r="I733" s="1">
        <f>AVERAGE(tblStudents[[#This Row],[Math Score]],tblStudents[[#This Row],[Reading Score]],tblStudents[[#This Row],[Writing Score]])</f>
        <v>48</v>
      </c>
      <c r="J733">
        <f>IF(tblStudents[[#This Row],[Average Score]]&gt;=60,1,0)</f>
        <v>0</v>
      </c>
      <c r="K733" t="str">
        <f>IF(tblStudents[[#This Row],[Average Score]]&gt;=60,"Pass","At Risk")</f>
        <v>At Risk</v>
      </c>
      <c r="L733" t="str" cm="1">
        <f t="array" ref="L733">_xlfn.IFS(tblStudents[[#This Row],[Average Score]]&gt;=80,"High",tblStudents[[#This Row],[Average Score]]&gt;=60,"Meets Standard",TRUE,"At Risk")</f>
        <v>At Risk</v>
      </c>
      <c r="M7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34" spans="1:13" x14ac:dyDescent="0.25">
      <c r="A734" t="s">
        <v>0</v>
      </c>
      <c r="B734" t="s">
        <v>5</v>
      </c>
      <c r="C734" t="s">
        <v>6</v>
      </c>
      <c r="D734" t="s">
        <v>3</v>
      </c>
      <c r="E734" t="s">
        <v>7</v>
      </c>
      <c r="F734">
        <v>87</v>
      </c>
      <c r="G734">
        <v>89</v>
      </c>
      <c r="H734">
        <v>94</v>
      </c>
      <c r="I734" s="1">
        <f>AVERAGE(tblStudents[[#This Row],[Math Score]],tblStudents[[#This Row],[Reading Score]],tblStudents[[#This Row],[Writing Score]])</f>
        <v>90</v>
      </c>
      <c r="J734">
        <f>IF(tblStudents[[#This Row],[Average Score]]&gt;=60,1,0)</f>
        <v>1</v>
      </c>
      <c r="K734" t="str">
        <f>IF(tblStudents[[#This Row],[Average Score]]&gt;=60,"Pass","At Risk")</f>
        <v>Pass</v>
      </c>
      <c r="L734" t="str" cm="1">
        <f t="array" ref="L734">_xlfn.IFS(tblStudents[[#This Row],[Average Score]]&gt;=80,"High",tblStudents[[#This Row],[Average Score]]&gt;=60,"Meets Standard",TRUE,"At Risk")</f>
        <v>High</v>
      </c>
      <c r="M7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35" spans="1:13" x14ac:dyDescent="0.25">
      <c r="A735" t="s">
        <v>9</v>
      </c>
      <c r="B735" t="s">
        <v>13</v>
      </c>
      <c r="C735" t="s">
        <v>15</v>
      </c>
      <c r="D735" t="s">
        <v>3</v>
      </c>
      <c r="E735" t="s">
        <v>4</v>
      </c>
      <c r="F735">
        <v>55</v>
      </c>
      <c r="G735">
        <v>47</v>
      </c>
      <c r="H735">
        <v>44</v>
      </c>
      <c r="I735" s="1">
        <f>AVERAGE(tblStudents[[#This Row],[Math Score]],tblStudents[[#This Row],[Reading Score]],tblStudents[[#This Row],[Writing Score]])</f>
        <v>48.666666666666664</v>
      </c>
      <c r="J735">
        <f>IF(tblStudents[[#This Row],[Average Score]]&gt;=60,1,0)</f>
        <v>0</v>
      </c>
      <c r="K735" t="str">
        <f>IF(tblStudents[[#This Row],[Average Score]]&gt;=60,"Pass","At Risk")</f>
        <v>At Risk</v>
      </c>
      <c r="L735" t="str" cm="1">
        <f t="array" ref="L735">_xlfn.IFS(tblStudents[[#This Row],[Average Score]]&gt;=80,"High",tblStudents[[#This Row],[Average Score]]&gt;=60,"Meets Standard",TRUE,"At Risk")</f>
        <v>At Risk</v>
      </c>
      <c r="M7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736" spans="1:13" x14ac:dyDescent="0.25">
      <c r="A736" t="s">
        <v>0</v>
      </c>
      <c r="B736" t="s">
        <v>16</v>
      </c>
      <c r="C736" t="s">
        <v>6</v>
      </c>
      <c r="D736" t="s">
        <v>12</v>
      </c>
      <c r="E736" t="s">
        <v>4</v>
      </c>
      <c r="F736">
        <v>53</v>
      </c>
      <c r="G736">
        <v>58</v>
      </c>
      <c r="H736">
        <v>57</v>
      </c>
      <c r="I736" s="1">
        <f>AVERAGE(tblStudents[[#This Row],[Math Score]],tblStudents[[#This Row],[Reading Score]],tblStudents[[#This Row],[Writing Score]])</f>
        <v>56</v>
      </c>
      <c r="J736">
        <f>IF(tblStudents[[#This Row],[Average Score]]&gt;=60,1,0)</f>
        <v>0</v>
      </c>
      <c r="K736" t="str">
        <f>IF(tblStudents[[#This Row],[Average Score]]&gt;=60,"Pass","At Risk")</f>
        <v>At Risk</v>
      </c>
      <c r="L736" t="str" cm="1">
        <f t="array" ref="L736">_xlfn.IFS(tblStudents[[#This Row],[Average Score]]&gt;=80,"High",tblStudents[[#This Row],[Average Score]]&gt;=60,"Meets Standard",TRUE,"At Risk")</f>
        <v>At Risk</v>
      </c>
      <c r="M7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37" spans="1:13" x14ac:dyDescent="0.25">
      <c r="A737" t="s">
        <v>9</v>
      </c>
      <c r="B737" t="s">
        <v>5</v>
      </c>
      <c r="C737" t="s">
        <v>8</v>
      </c>
      <c r="D737" t="s">
        <v>3</v>
      </c>
      <c r="E737" t="s">
        <v>4</v>
      </c>
      <c r="F737">
        <v>67</v>
      </c>
      <c r="G737">
        <v>57</v>
      </c>
      <c r="H737">
        <v>59</v>
      </c>
      <c r="I737" s="1">
        <f>AVERAGE(tblStudents[[#This Row],[Math Score]],tblStudents[[#This Row],[Reading Score]],tblStudents[[#This Row],[Writing Score]])</f>
        <v>61</v>
      </c>
      <c r="J737">
        <f>IF(tblStudents[[#This Row],[Average Score]]&gt;=60,1,0)</f>
        <v>1</v>
      </c>
      <c r="K737" t="str">
        <f>IF(tblStudents[[#This Row],[Average Score]]&gt;=60,"Pass","At Risk")</f>
        <v>Pass</v>
      </c>
      <c r="L737" t="str" cm="1">
        <f t="array" ref="L737">_xlfn.IFS(tblStudents[[#This Row],[Average Score]]&gt;=80,"High",tblStudents[[#This Row],[Average Score]]&gt;=60,"Meets Standard",TRUE,"At Risk")</f>
        <v>Meets Standard</v>
      </c>
      <c r="M7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38" spans="1:13" x14ac:dyDescent="0.25">
      <c r="A738" t="s">
        <v>9</v>
      </c>
      <c r="B738" t="s">
        <v>5</v>
      </c>
      <c r="C738" t="s">
        <v>11</v>
      </c>
      <c r="D738" t="s">
        <v>3</v>
      </c>
      <c r="E738" t="s">
        <v>4</v>
      </c>
      <c r="F738">
        <v>92</v>
      </c>
      <c r="G738">
        <v>79</v>
      </c>
      <c r="H738">
        <v>84</v>
      </c>
      <c r="I738" s="1">
        <f>AVERAGE(tblStudents[[#This Row],[Math Score]],tblStudents[[#This Row],[Reading Score]],tblStudents[[#This Row],[Writing Score]])</f>
        <v>85</v>
      </c>
      <c r="J738">
        <f>IF(tblStudents[[#This Row],[Average Score]]&gt;=60,1,0)</f>
        <v>1</v>
      </c>
      <c r="K738" t="str">
        <f>IF(tblStudents[[#This Row],[Average Score]]&gt;=60,"Pass","At Risk")</f>
        <v>Pass</v>
      </c>
      <c r="L738" t="str" cm="1">
        <f t="array" ref="L738">_xlfn.IFS(tblStudents[[#This Row],[Average Score]]&gt;=80,"High",tblStudents[[#This Row],[Average Score]]&gt;=60,"Meets Standard",TRUE,"At Risk")</f>
        <v>High</v>
      </c>
      <c r="M7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739" spans="1:13" x14ac:dyDescent="0.25">
      <c r="A739" t="s">
        <v>0</v>
      </c>
      <c r="B739" t="s">
        <v>1</v>
      </c>
      <c r="C739" t="s">
        <v>6</v>
      </c>
      <c r="D739" t="s">
        <v>12</v>
      </c>
      <c r="E739" t="s">
        <v>7</v>
      </c>
      <c r="F739">
        <v>53</v>
      </c>
      <c r="G739">
        <v>66</v>
      </c>
      <c r="H739">
        <v>73</v>
      </c>
      <c r="I739" s="1">
        <f>AVERAGE(tblStudents[[#This Row],[Math Score]],tblStudents[[#This Row],[Reading Score]],tblStudents[[#This Row],[Writing Score]])</f>
        <v>64</v>
      </c>
      <c r="J739">
        <f>IF(tblStudents[[#This Row],[Average Score]]&gt;=60,1,0)</f>
        <v>1</v>
      </c>
      <c r="K739" t="str">
        <f>IF(tblStudents[[#This Row],[Average Score]]&gt;=60,"Pass","At Risk")</f>
        <v>Pass</v>
      </c>
      <c r="L739" t="str" cm="1">
        <f t="array" ref="L739">_xlfn.IFS(tblStudents[[#This Row],[Average Score]]&gt;=80,"High",tblStudents[[#This Row],[Average Score]]&gt;=60,"Meets Standard",TRUE,"At Risk")</f>
        <v>Meets Standard</v>
      </c>
      <c r="M7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740" spans="1:13" x14ac:dyDescent="0.25">
      <c r="A740" t="s">
        <v>9</v>
      </c>
      <c r="B740" t="s">
        <v>13</v>
      </c>
      <c r="C740" t="s">
        <v>11</v>
      </c>
      <c r="D740" t="s">
        <v>3</v>
      </c>
      <c r="E740" t="s">
        <v>4</v>
      </c>
      <c r="F740">
        <v>81</v>
      </c>
      <c r="G740">
        <v>71</v>
      </c>
      <c r="H740">
        <v>73</v>
      </c>
      <c r="I740" s="1">
        <f>AVERAGE(tblStudents[[#This Row],[Math Score]],tblStudents[[#This Row],[Reading Score]],tblStudents[[#This Row],[Writing Score]])</f>
        <v>75</v>
      </c>
      <c r="J740">
        <f>IF(tblStudents[[#This Row],[Average Score]]&gt;=60,1,0)</f>
        <v>1</v>
      </c>
      <c r="K740" t="str">
        <f>IF(tblStudents[[#This Row],[Average Score]]&gt;=60,"Pass","At Risk")</f>
        <v>Pass</v>
      </c>
      <c r="L740" t="str" cm="1">
        <f t="array" ref="L740">_xlfn.IFS(tblStudents[[#This Row],[Average Score]]&gt;=80,"High",tblStudents[[#This Row],[Average Score]]&gt;=60,"Meets Standard",TRUE,"At Risk")</f>
        <v>Meets Standard</v>
      </c>
      <c r="M7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41" spans="1:13" x14ac:dyDescent="0.25">
      <c r="A741" t="s">
        <v>9</v>
      </c>
      <c r="B741" t="s">
        <v>5</v>
      </c>
      <c r="C741" t="s">
        <v>14</v>
      </c>
      <c r="D741" t="s">
        <v>12</v>
      </c>
      <c r="E741" t="s">
        <v>4</v>
      </c>
      <c r="F741">
        <v>61</v>
      </c>
      <c r="G741">
        <v>60</v>
      </c>
      <c r="H741">
        <v>55</v>
      </c>
      <c r="I741" s="1">
        <f>AVERAGE(tblStudents[[#This Row],[Math Score]],tblStudents[[#This Row],[Reading Score]],tblStudents[[#This Row],[Writing Score]])</f>
        <v>58.666666666666664</v>
      </c>
      <c r="J741">
        <f>IF(tblStudents[[#This Row],[Average Score]]&gt;=60,1,0)</f>
        <v>0</v>
      </c>
      <c r="K741" t="str">
        <f>IF(tblStudents[[#This Row],[Average Score]]&gt;=60,"Pass","At Risk")</f>
        <v>At Risk</v>
      </c>
      <c r="L741" t="str" cm="1">
        <f t="array" ref="L741">_xlfn.IFS(tblStudents[[#This Row],[Average Score]]&gt;=80,"High",tblStudents[[#This Row],[Average Score]]&gt;=60,"Meets Standard",TRUE,"At Risk")</f>
        <v>At Risk</v>
      </c>
      <c r="M7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42" spans="1:13" x14ac:dyDescent="0.25">
      <c r="A742" t="s">
        <v>9</v>
      </c>
      <c r="B742" t="s">
        <v>13</v>
      </c>
      <c r="C742" t="s">
        <v>2</v>
      </c>
      <c r="D742" t="s">
        <v>3</v>
      </c>
      <c r="E742" t="s">
        <v>4</v>
      </c>
      <c r="F742">
        <v>80</v>
      </c>
      <c r="G742">
        <v>73</v>
      </c>
      <c r="H742">
        <v>72</v>
      </c>
      <c r="I742" s="1">
        <f>AVERAGE(tblStudents[[#This Row],[Math Score]],tblStudents[[#This Row],[Reading Score]],tblStudents[[#This Row],[Writing Score]])</f>
        <v>75</v>
      </c>
      <c r="J742">
        <f>IF(tblStudents[[#This Row],[Average Score]]&gt;=60,1,0)</f>
        <v>1</v>
      </c>
      <c r="K742" t="str">
        <f>IF(tblStudents[[#This Row],[Average Score]]&gt;=60,"Pass","At Risk")</f>
        <v>Pass</v>
      </c>
      <c r="L742" t="str" cm="1">
        <f t="array" ref="L742">_xlfn.IFS(tblStudents[[#This Row],[Average Score]]&gt;=80,"High",tblStudents[[#This Row],[Average Score]]&gt;=60,"Meets Standard",TRUE,"At Risk")</f>
        <v>Meets Standard</v>
      </c>
      <c r="M7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43" spans="1:13" x14ac:dyDescent="0.25">
      <c r="A743" t="s">
        <v>0</v>
      </c>
      <c r="B743" t="s">
        <v>10</v>
      </c>
      <c r="C743" t="s">
        <v>11</v>
      </c>
      <c r="D743" t="s">
        <v>12</v>
      </c>
      <c r="E743" t="s">
        <v>4</v>
      </c>
      <c r="F743">
        <v>37</v>
      </c>
      <c r="G743">
        <v>57</v>
      </c>
      <c r="H743">
        <v>56</v>
      </c>
      <c r="I743" s="1">
        <f>AVERAGE(tblStudents[[#This Row],[Math Score]],tblStudents[[#This Row],[Reading Score]],tblStudents[[#This Row],[Writing Score]])</f>
        <v>50</v>
      </c>
      <c r="J743">
        <f>IF(tblStudents[[#This Row],[Average Score]]&gt;=60,1,0)</f>
        <v>0</v>
      </c>
      <c r="K743" t="str">
        <f>IF(tblStudents[[#This Row],[Average Score]]&gt;=60,"Pass","At Risk")</f>
        <v>At Risk</v>
      </c>
      <c r="L743" t="str" cm="1">
        <f t="array" ref="L743">_xlfn.IFS(tblStudents[[#This Row],[Average Score]]&gt;=80,"High",tblStudents[[#This Row],[Average Score]]&gt;=60,"Meets Standard",TRUE,"At Risk")</f>
        <v>At Risk</v>
      </c>
      <c r="M7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744" spans="1:13" x14ac:dyDescent="0.25">
      <c r="A744" t="s">
        <v>0</v>
      </c>
      <c r="B744" t="s">
        <v>5</v>
      </c>
      <c r="C744" t="s">
        <v>14</v>
      </c>
      <c r="D744" t="s">
        <v>3</v>
      </c>
      <c r="E744" t="s">
        <v>4</v>
      </c>
      <c r="F744">
        <v>81</v>
      </c>
      <c r="G744">
        <v>84</v>
      </c>
      <c r="H744">
        <v>82</v>
      </c>
      <c r="I744" s="1">
        <f>AVERAGE(tblStudents[[#This Row],[Math Score]],tblStudents[[#This Row],[Reading Score]],tblStudents[[#This Row],[Writing Score]])</f>
        <v>82.333333333333329</v>
      </c>
      <c r="J744">
        <f>IF(tblStudents[[#This Row],[Average Score]]&gt;=60,1,0)</f>
        <v>1</v>
      </c>
      <c r="K744" t="str">
        <f>IF(tblStudents[[#This Row],[Average Score]]&gt;=60,"Pass","At Risk")</f>
        <v>Pass</v>
      </c>
      <c r="L744" t="str" cm="1">
        <f t="array" ref="L744">_xlfn.IFS(tblStudents[[#This Row],[Average Score]]&gt;=80,"High",tblStudents[[#This Row],[Average Score]]&gt;=60,"Meets Standard",TRUE,"At Risk")</f>
        <v>High</v>
      </c>
      <c r="M7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45" spans="1:13" x14ac:dyDescent="0.25">
      <c r="A745" t="s">
        <v>0</v>
      </c>
      <c r="B745" t="s">
        <v>5</v>
      </c>
      <c r="C745" t="s">
        <v>11</v>
      </c>
      <c r="D745" t="s">
        <v>3</v>
      </c>
      <c r="E745" t="s">
        <v>7</v>
      </c>
      <c r="F745">
        <v>59</v>
      </c>
      <c r="G745">
        <v>73</v>
      </c>
      <c r="H745">
        <v>72</v>
      </c>
      <c r="I745" s="1">
        <f>AVERAGE(tblStudents[[#This Row],[Math Score]],tblStudents[[#This Row],[Reading Score]],tblStudents[[#This Row],[Writing Score]])</f>
        <v>68</v>
      </c>
      <c r="J745">
        <f>IF(tblStudents[[#This Row],[Average Score]]&gt;=60,1,0)</f>
        <v>1</v>
      </c>
      <c r="K745" t="str">
        <f>IF(tblStudents[[#This Row],[Average Score]]&gt;=60,"Pass","At Risk")</f>
        <v>Pass</v>
      </c>
      <c r="L745" t="str" cm="1">
        <f t="array" ref="L745">_xlfn.IFS(tblStudents[[#This Row],[Average Score]]&gt;=80,"High",tblStudents[[#This Row],[Average Score]]&gt;=60,"Meets Standard",TRUE,"At Risk")</f>
        <v>Meets Standard</v>
      </c>
      <c r="M7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746" spans="1:13" x14ac:dyDescent="0.25">
      <c r="A746" t="s">
        <v>9</v>
      </c>
      <c r="B746" t="s">
        <v>1</v>
      </c>
      <c r="C746" t="s">
        <v>6</v>
      </c>
      <c r="D746" t="s">
        <v>12</v>
      </c>
      <c r="E746" t="s">
        <v>4</v>
      </c>
      <c r="F746">
        <v>55</v>
      </c>
      <c r="G746">
        <v>55</v>
      </c>
      <c r="H746">
        <v>47</v>
      </c>
      <c r="I746" s="1">
        <f>AVERAGE(tblStudents[[#This Row],[Math Score]],tblStudents[[#This Row],[Reading Score]],tblStudents[[#This Row],[Writing Score]])</f>
        <v>52.333333333333336</v>
      </c>
      <c r="J746">
        <f>IF(tblStudents[[#This Row],[Average Score]]&gt;=60,1,0)</f>
        <v>0</v>
      </c>
      <c r="K746" t="str">
        <f>IF(tblStudents[[#This Row],[Average Score]]&gt;=60,"Pass","At Risk")</f>
        <v>At Risk</v>
      </c>
      <c r="L746" t="str" cm="1">
        <f t="array" ref="L746">_xlfn.IFS(tblStudents[[#This Row],[Average Score]]&gt;=80,"High",tblStudents[[#This Row],[Average Score]]&gt;=60,"Meets Standard",TRUE,"At Risk")</f>
        <v>At Risk</v>
      </c>
      <c r="M7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47" spans="1:13" x14ac:dyDescent="0.25">
      <c r="A747" t="s">
        <v>9</v>
      </c>
      <c r="B747" t="s">
        <v>13</v>
      </c>
      <c r="C747" t="s">
        <v>11</v>
      </c>
      <c r="D747" t="s">
        <v>3</v>
      </c>
      <c r="E747" t="s">
        <v>4</v>
      </c>
      <c r="F747">
        <v>72</v>
      </c>
      <c r="G747">
        <v>79</v>
      </c>
      <c r="H747">
        <v>74</v>
      </c>
      <c r="I747" s="1">
        <f>AVERAGE(tblStudents[[#This Row],[Math Score]],tblStudents[[#This Row],[Reading Score]],tblStudents[[#This Row],[Writing Score]])</f>
        <v>75</v>
      </c>
      <c r="J747">
        <f>IF(tblStudents[[#This Row],[Average Score]]&gt;=60,1,0)</f>
        <v>1</v>
      </c>
      <c r="K747" t="str">
        <f>IF(tblStudents[[#This Row],[Average Score]]&gt;=60,"Pass","At Risk")</f>
        <v>Pass</v>
      </c>
      <c r="L747" t="str" cm="1">
        <f t="array" ref="L747">_xlfn.IFS(tblStudents[[#This Row],[Average Score]]&gt;=80,"High",tblStudents[[#This Row],[Average Score]]&gt;=60,"Meets Standard",TRUE,"At Risk")</f>
        <v>Meets Standard</v>
      </c>
      <c r="M7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48" spans="1:13" x14ac:dyDescent="0.25">
      <c r="A748" t="s">
        <v>9</v>
      </c>
      <c r="B748" t="s">
        <v>13</v>
      </c>
      <c r="C748" t="s">
        <v>14</v>
      </c>
      <c r="D748" t="s">
        <v>3</v>
      </c>
      <c r="E748" t="s">
        <v>4</v>
      </c>
      <c r="F748">
        <v>69</v>
      </c>
      <c r="G748">
        <v>75</v>
      </c>
      <c r="H748">
        <v>71</v>
      </c>
      <c r="I748" s="1">
        <f>AVERAGE(tblStudents[[#This Row],[Math Score]],tblStudents[[#This Row],[Reading Score]],tblStudents[[#This Row],[Writing Score]])</f>
        <v>71.666666666666671</v>
      </c>
      <c r="J748">
        <f>IF(tblStudents[[#This Row],[Average Score]]&gt;=60,1,0)</f>
        <v>1</v>
      </c>
      <c r="K748" t="str">
        <f>IF(tblStudents[[#This Row],[Average Score]]&gt;=60,"Pass","At Risk")</f>
        <v>Pass</v>
      </c>
      <c r="L748" t="str" cm="1">
        <f t="array" ref="L748">_xlfn.IFS(tblStudents[[#This Row],[Average Score]]&gt;=80,"High",tblStudents[[#This Row],[Average Score]]&gt;=60,"Meets Standard",TRUE,"At Risk")</f>
        <v>Meets Standard</v>
      </c>
      <c r="M7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49" spans="1:13" x14ac:dyDescent="0.25">
      <c r="A749" t="s">
        <v>9</v>
      </c>
      <c r="B749" t="s">
        <v>5</v>
      </c>
      <c r="C749" t="s">
        <v>6</v>
      </c>
      <c r="D749" t="s">
        <v>3</v>
      </c>
      <c r="E749" t="s">
        <v>4</v>
      </c>
      <c r="F749">
        <v>69</v>
      </c>
      <c r="G749">
        <v>64</v>
      </c>
      <c r="H749">
        <v>68</v>
      </c>
      <c r="I749" s="1">
        <f>AVERAGE(tblStudents[[#This Row],[Math Score]],tblStudents[[#This Row],[Reading Score]],tblStudents[[#This Row],[Writing Score]])</f>
        <v>67</v>
      </c>
      <c r="J749">
        <f>IF(tblStudents[[#This Row],[Average Score]]&gt;=60,1,0)</f>
        <v>1</v>
      </c>
      <c r="K749" t="str">
        <f>IF(tblStudents[[#This Row],[Average Score]]&gt;=60,"Pass","At Risk")</f>
        <v>Pass</v>
      </c>
      <c r="L749" t="str" cm="1">
        <f t="array" ref="L749">_xlfn.IFS(tblStudents[[#This Row],[Average Score]]&gt;=80,"High",tblStudents[[#This Row],[Average Score]]&gt;=60,"Meets Standard",TRUE,"At Risk")</f>
        <v>Meets Standard</v>
      </c>
      <c r="M7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50" spans="1:13" x14ac:dyDescent="0.25">
      <c r="A750" t="s">
        <v>0</v>
      </c>
      <c r="B750" t="s">
        <v>5</v>
      </c>
      <c r="C750" t="s">
        <v>2</v>
      </c>
      <c r="D750" t="s">
        <v>12</v>
      </c>
      <c r="E750" t="s">
        <v>4</v>
      </c>
      <c r="F750">
        <v>50</v>
      </c>
      <c r="G750">
        <v>60</v>
      </c>
      <c r="H750">
        <v>59</v>
      </c>
      <c r="I750" s="1">
        <f>AVERAGE(tblStudents[[#This Row],[Math Score]],tblStudents[[#This Row],[Reading Score]],tblStudents[[#This Row],[Writing Score]])</f>
        <v>56.333333333333336</v>
      </c>
      <c r="J750">
        <f>IF(tblStudents[[#This Row],[Average Score]]&gt;=60,1,0)</f>
        <v>0</v>
      </c>
      <c r="K750" t="str">
        <f>IF(tblStudents[[#This Row],[Average Score]]&gt;=60,"Pass","At Risk")</f>
        <v>At Risk</v>
      </c>
      <c r="L750" t="str" cm="1">
        <f t="array" ref="L750">_xlfn.IFS(tblStudents[[#This Row],[Average Score]]&gt;=80,"High",tblStudents[[#This Row],[Average Score]]&gt;=60,"Meets Standard",TRUE,"At Risk")</f>
        <v>At Risk</v>
      </c>
      <c r="M7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51" spans="1:13" x14ac:dyDescent="0.25">
      <c r="A751" t="s">
        <v>9</v>
      </c>
      <c r="B751" t="s">
        <v>1</v>
      </c>
      <c r="C751" t="s">
        <v>6</v>
      </c>
      <c r="D751" t="s">
        <v>3</v>
      </c>
      <c r="E751" t="s">
        <v>7</v>
      </c>
      <c r="F751">
        <v>87</v>
      </c>
      <c r="G751">
        <v>84</v>
      </c>
      <c r="H751">
        <v>86</v>
      </c>
      <c r="I751" s="1">
        <f>AVERAGE(tblStudents[[#This Row],[Math Score]],tblStudents[[#This Row],[Reading Score]],tblStudents[[#This Row],[Writing Score]])</f>
        <v>85.666666666666671</v>
      </c>
      <c r="J751">
        <f>IF(tblStudents[[#This Row],[Average Score]]&gt;=60,1,0)</f>
        <v>1</v>
      </c>
      <c r="K751" t="str">
        <f>IF(tblStudents[[#This Row],[Average Score]]&gt;=60,"Pass","At Risk")</f>
        <v>Pass</v>
      </c>
      <c r="L751" t="str" cm="1">
        <f t="array" ref="L751">_xlfn.IFS(tblStudents[[#This Row],[Average Score]]&gt;=80,"High",tblStudents[[#This Row],[Average Score]]&gt;=60,"Meets Standard",TRUE,"At Risk")</f>
        <v>High</v>
      </c>
      <c r="M7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52" spans="1:13" x14ac:dyDescent="0.25">
      <c r="A752" t="s">
        <v>9</v>
      </c>
      <c r="B752" t="s">
        <v>13</v>
      </c>
      <c r="C752" t="s">
        <v>15</v>
      </c>
      <c r="D752" t="s">
        <v>3</v>
      </c>
      <c r="E752" t="s">
        <v>7</v>
      </c>
      <c r="F752">
        <v>71</v>
      </c>
      <c r="G752">
        <v>69</v>
      </c>
      <c r="H752">
        <v>68</v>
      </c>
      <c r="I752" s="1">
        <f>AVERAGE(tblStudents[[#This Row],[Math Score]],tblStudents[[#This Row],[Reading Score]],tblStudents[[#This Row],[Writing Score]])</f>
        <v>69.333333333333329</v>
      </c>
      <c r="J752">
        <f>IF(tblStudents[[#This Row],[Average Score]]&gt;=60,1,0)</f>
        <v>1</v>
      </c>
      <c r="K752" t="str">
        <f>IF(tblStudents[[#This Row],[Average Score]]&gt;=60,"Pass","At Risk")</f>
        <v>Pass</v>
      </c>
      <c r="L752" t="str" cm="1">
        <f t="array" ref="L752">_xlfn.IFS(tblStudents[[#This Row],[Average Score]]&gt;=80,"High",tblStudents[[#This Row],[Average Score]]&gt;=60,"Meets Standard",TRUE,"At Risk")</f>
        <v>Meets Standard</v>
      </c>
      <c r="M7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53" spans="1:13" x14ac:dyDescent="0.25">
      <c r="A753" t="s">
        <v>9</v>
      </c>
      <c r="B753" t="s">
        <v>16</v>
      </c>
      <c r="C753" t="s">
        <v>6</v>
      </c>
      <c r="D753" t="s">
        <v>3</v>
      </c>
      <c r="E753" t="s">
        <v>4</v>
      </c>
      <c r="F753">
        <v>68</v>
      </c>
      <c r="G753">
        <v>72</v>
      </c>
      <c r="H753">
        <v>65</v>
      </c>
      <c r="I753" s="1">
        <f>AVERAGE(tblStudents[[#This Row],[Math Score]],tblStudents[[#This Row],[Reading Score]],tblStudents[[#This Row],[Writing Score]])</f>
        <v>68.333333333333329</v>
      </c>
      <c r="J753">
        <f>IF(tblStudents[[#This Row],[Average Score]]&gt;=60,1,0)</f>
        <v>1</v>
      </c>
      <c r="K753" t="str">
        <f>IF(tblStudents[[#This Row],[Average Score]]&gt;=60,"Pass","At Risk")</f>
        <v>Pass</v>
      </c>
      <c r="L753" t="str" cm="1">
        <f t="array" ref="L753">_xlfn.IFS(tblStudents[[#This Row],[Average Score]]&gt;=80,"High",tblStudents[[#This Row],[Average Score]]&gt;=60,"Meets Standard",TRUE,"At Risk")</f>
        <v>Meets Standard</v>
      </c>
      <c r="M7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54" spans="1:13" x14ac:dyDescent="0.25">
      <c r="A754" t="s">
        <v>9</v>
      </c>
      <c r="B754" t="s">
        <v>5</v>
      </c>
      <c r="C754" t="s">
        <v>8</v>
      </c>
      <c r="D754" t="s">
        <v>12</v>
      </c>
      <c r="E754" t="s">
        <v>7</v>
      </c>
      <c r="F754">
        <v>79</v>
      </c>
      <c r="G754">
        <v>77</v>
      </c>
      <c r="H754">
        <v>75</v>
      </c>
      <c r="I754" s="1">
        <f>AVERAGE(tblStudents[[#This Row],[Math Score]],tblStudents[[#This Row],[Reading Score]],tblStudents[[#This Row],[Writing Score]])</f>
        <v>77</v>
      </c>
      <c r="J754">
        <f>IF(tblStudents[[#This Row],[Average Score]]&gt;=60,1,0)</f>
        <v>1</v>
      </c>
      <c r="K754" t="str">
        <f>IF(tblStudents[[#This Row],[Average Score]]&gt;=60,"Pass","At Risk")</f>
        <v>Pass</v>
      </c>
      <c r="L754" t="str" cm="1">
        <f t="array" ref="L754">_xlfn.IFS(tblStudents[[#This Row],[Average Score]]&gt;=80,"High",tblStudents[[#This Row],[Average Score]]&gt;=60,"Meets Standard",TRUE,"At Risk")</f>
        <v>Meets Standard</v>
      </c>
      <c r="M7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755" spans="1:13" x14ac:dyDescent="0.25">
      <c r="A755" t="s">
        <v>0</v>
      </c>
      <c r="B755" t="s">
        <v>5</v>
      </c>
      <c r="C755" t="s">
        <v>15</v>
      </c>
      <c r="D755" t="s">
        <v>3</v>
      </c>
      <c r="E755" t="s">
        <v>7</v>
      </c>
      <c r="F755">
        <v>77</v>
      </c>
      <c r="G755">
        <v>90</v>
      </c>
      <c r="H755">
        <v>85</v>
      </c>
      <c r="I755" s="1">
        <f>AVERAGE(tblStudents[[#This Row],[Math Score]],tblStudents[[#This Row],[Reading Score]],tblStudents[[#This Row],[Writing Score]])</f>
        <v>84</v>
      </c>
      <c r="J755">
        <f>IF(tblStudents[[#This Row],[Average Score]]&gt;=60,1,0)</f>
        <v>1</v>
      </c>
      <c r="K755" t="str">
        <f>IF(tblStudents[[#This Row],[Average Score]]&gt;=60,"Pass","At Risk")</f>
        <v>Pass</v>
      </c>
      <c r="L755" t="str" cm="1">
        <f t="array" ref="L755">_xlfn.IFS(tblStudents[[#This Row],[Average Score]]&gt;=80,"High",tblStudents[[#This Row],[Average Score]]&gt;=60,"Meets Standard",TRUE,"At Risk")</f>
        <v>High</v>
      </c>
      <c r="M7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756" spans="1:13" x14ac:dyDescent="0.25">
      <c r="A756" t="s">
        <v>9</v>
      </c>
      <c r="B756" t="s">
        <v>5</v>
      </c>
      <c r="C756" t="s">
        <v>11</v>
      </c>
      <c r="D756" t="s">
        <v>12</v>
      </c>
      <c r="E756" t="s">
        <v>4</v>
      </c>
      <c r="F756">
        <v>58</v>
      </c>
      <c r="G756">
        <v>55</v>
      </c>
      <c r="H756">
        <v>53</v>
      </c>
      <c r="I756" s="1">
        <f>AVERAGE(tblStudents[[#This Row],[Math Score]],tblStudents[[#This Row],[Reading Score]],tblStudents[[#This Row],[Writing Score]])</f>
        <v>55.333333333333336</v>
      </c>
      <c r="J756">
        <f>IF(tblStudents[[#This Row],[Average Score]]&gt;=60,1,0)</f>
        <v>0</v>
      </c>
      <c r="K756" t="str">
        <f>IF(tblStudents[[#This Row],[Average Score]]&gt;=60,"Pass","At Risk")</f>
        <v>At Risk</v>
      </c>
      <c r="L756" t="str" cm="1">
        <f t="array" ref="L756">_xlfn.IFS(tblStudents[[#This Row],[Average Score]]&gt;=80,"High",tblStudents[[#This Row],[Average Score]]&gt;=60,"Meets Standard",TRUE,"At Risk")</f>
        <v>At Risk</v>
      </c>
      <c r="M7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757" spans="1:13" x14ac:dyDescent="0.25">
      <c r="A757" t="s">
        <v>0</v>
      </c>
      <c r="B757" t="s">
        <v>16</v>
      </c>
      <c r="C757" t="s">
        <v>11</v>
      </c>
      <c r="D757" t="s">
        <v>3</v>
      </c>
      <c r="E757" t="s">
        <v>4</v>
      </c>
      <c r="F757">
        <v>84</v>
      </c>
      <c r="G757">
        <v>95</v>
      </c>
      <c r="H757">
        <v>92</v>
      </c>
      <c r="I757" s="1">
        <f>AVERAGE(tblStudents[[#This Row],[Math Score]],tblStudents[[#This Row],[Reading Score]],tblStudents[[#This Row],[Writing Score]])</f>
        <v>90.333333333333329</v>
      </c>
      <c r="J757">
        <f>IF(tblStudents[[#This Row],[Average Score]]&gt;=60,1,0)</f>
        <v>1</v>
      </c>
      <c r="K757" t="str">
        <f>IF(tblStudents[[#This Row],[Average Score]]&gt;=60,"Pass","At Risk")</f>
        <v>Pass</v>
      </c>
      <c r="L757" t="str" cm="1">
        <f t="array" ref="L757">_xlfn.IFS(tblStudents[[#This Row],[Average Score]]&gt;=80,"High",tblStudents[[#This Row],[Average Score]]&gt;=60,"Meets Standard",TRUE,"At Risk")</f>
        <v>High</v>
      </c>
      <c r="M7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758" spans="1:13" x14ac:dyDescent="0.25">
      <c r="A758" t="s">
        <v>9</v>
      </c>
      <c r="B758" t="s">
        <v>13</v>
      </c>
      <c r="C758" t="s">
        <v>6</v>
      </c>
      <c r="D758" t="s">
        <v>3</v>
      </c>
      <c r="E758" t="s">
        <v>4</v>
      </c>
      <c r="F758">
        <v>55</v>
      </c>
      <c r="G758">
        <v>58</v>
      </c>
      <c r="H758">
        <v>52</v>
      </c>
      <c r="I758" s="1">
        <f>AVERAGE(tblStudents[[#This Row],[Math Score]],tblStudents[[#This Row],[Reading Score]],tblStudents[[#This Row],[Writing Score]])</f>
        <v>55</v>
      </c>
      <c r="J758">
        <f>IF(tblStudents[[#This Row],[Average Score]]&gt;=60,1,0)</f>
        <v>0</v>
      </c>
      <c r="K758" t="str">
        <f>IF(tblStudents[[#This Row],[Average Score]]&gt;=60,"Pass","At Risk")</f>
        <v>At Risk</v>
      </c>
      <c r="L758" t="str" cm="1">
        <f t="array" ref="L758">_xlfn.IFS(tblStudents[[#This Row],[Average Score]]&gt;=80,"High",tblStudents[[#This Row],[Average Score]]&gt;=60,"Meets Standard",TRUE,"At Risk")</f>
        <v>At Risk</v>
      </c>
      <c r="M7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59" spans="1:13" x14ac:dyDescent="0.25">
      <c r="A759" t="s">
        <v>9</v>
      </c>
      <c r="B759" t="s">
        <v>16</v>
      </c>
      <c r="C759" t="s">
        <v>2</v>
      </c>
      <c r="D759" t="s">
        <v>12</v>
      </c>
      <c r="E759" t="s">
        <v>7</v>
      </c>
      <c r="F759">
        <v>70</v>
      </c>
      <c r="G759">
        <v>68</v>
      </c>
      <c r="H759">
        <v>72</v>
      </c>
      <c r="I759" s="1">
        <f>AVERAGE(tblStudents[[#This Row],[Math Score]],tblStudents[[#This Row],[Reading Score]],tblStudents[[#This Row],[Writing Score]])</f>
        <v>70</v>
      </c>
      <c r="J759">
        <f>IF(tblStudents[[#This Row],[Average Score]]&gt;=60,1,0)</f>
        <v>1</v>
      </c>
      <c r="K759" t="str">
        <f>IF(tblStudents[[#This Row],[Average Score]]&gt;=60,"Pass","At Risk")</f>
        <v>Pass</v>
      </c>
      <c r="L759" t="str" cm="1">
        <f t="array" ref="L759">_xlfn.IFS(tblStudents[[#This Row],[Average Score]]&gt;=80,"High",tblStudents[[#This Row],[Average Score]]&gt;=60,"Meets Standard",TRUE,"At Risk")</f>
        <v>Meets Standard</v>
      </c>
      <c r="M7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760" spans="1:13" x14ac:dyDescent="0.25">
      <c r="A760" t="s">
        <v>0</v>
      </c>
      <c r="B760" t="s">
        <v>13</v>
      </c>
      <c r="C760" t="s">
        <v>6</v>
      </c>
      <c r="D760" t="s">
        <v>12</v>
      </c>
      <c r="E760" t="s">
        <v>7</v>
      </c>
      <c r="F760">
        <v>52</v>
      </c>
      <c r="G760">
        <v>59</v>
      </c>
      <c r="H760">
        <v>65</v>
      </c>
      <c r="I760" s="1">
        <f>AVERAGE(tblStudents[[#This Row],[Math Score]],tblStudents[[#This Row],[Reading Score]],tblStudents[[#This Row],[Writing Score]])</f>
        <v>58.666666666666664</v>
      </c>
      <c r="J760">
        <f>IF(tblStudents[[#This Row],[Average Score]]&gt;=60,1,0)</f>
        <v>0</v>
      </c>
      <c r="K760" t="str">
        <f>IF(tblStudents[[#This Row],[Average Score]]&gt;=60,"Pass","At Risk")</f>
        <v>At Risk</v>
      </c>
      <c r="L760" t="str" cm="1">
        <f t="array" ref="L760">_xlfn.IFS(tblStudents[[#This Row],[Average Score]]&gt;=80,"High",tblStudents[[#This Row],[Average Score]]&gt;=60,"Meets Standard",TRUE,"At Risk")</f>
        <v>At Risk</v>
      </c>
      <c r="M7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761" spans="1:13" x14ac:dyDescent="0.25">
      <c r="A761" t="s">
        <v>9</v>
      </c>
      <c r="B761" t="s">
        <v>1</v>
      </c>
      <c r="C761" t="s">
        <v>6</v>
      </c>
      <c r="D761" t="s">
        <v>3</v>
      </c>
      <c r="E761" t="s">
        <v>7</v>
      </c>
      <c r="F761">
        <v>69</v>
      </c>
      <c r="G761">
        <v>77</v>
      </c>
      <c r="H761">
        <v>77</v>
      </c>
      <c r="I761" s="1">
        <f>AVERAGE(tblStudents[[#This Row],[Math Score]],tblStudents[[#This Row],[Reading Score]],tblStudents[[#This Row],[Writing Score]])</f>
        <v>74.333333333333329</v>
      </c>
      <c r="J761">
        <f>IF(tblStudents[[#This Row],[Average Score]]&gt;=60,1,0)</f>
        <v>1</v>
      </c>
      <c r="K761" t="str">
        <f>IF(tblStudents[[#This Row],[Average Score]]&gt;=60,"Pass","At Risk")</f>
        <v>Pass</v>
      </c>
      <c r="L761" t="str" cm="1">
        <f t="array" ref="L761">_xlfn.IFS(tblStudents[[#This Row],[Average Score]]&gt;=80,"High",tblStudents[[#This Row],[Average Score]]&gt;=60,"Meets Standard",TRUE,"At Risk")</f>
        <v>Meets Standard</v>
      </c>
      <c r="M7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62" spans="1:13" x14ac:dyDescent="0.25">
      <c r="A762" t="s">
        <v>0</v>
      </c>
      <c r="B762" t="s">
        <v>5</v>
      </c>
      <c r="C762" t="s">
        <v>14</v>
      </c>
      <c r="D762" t="s">
        <v>12</v>
      </c>
      <c r="E762" t="s">
        <v>4</v>
      </c>
      <c r="F762">
        <v>53</v>
      </c>
      <c r="G762">
        <v>72</v>
      </c>
      <c r="H762">
        <v>64</v>
      </c>
      <c r="I762" s="1">
        <f>AVERAGE(tblStudents[[#This Row],[Math Score]],tblStudents[[#This Row],[Reading Score]],tblStudents[[#This Row],[Writing Score]])</f>
        <v>63</v>
      </c>
      <c r="J762">
        <f>IF(tblStudents[[#This Row],[Average Score]]&gt;=60,1,0)</f>
        <v>1</v>
      </c>
      <c r="K762" t="str">
        <f>IF(tblStudents[[#This Row],[Average Score]]&gt;=60,"Pass","At Risk")</f>
        <v>Pass</v>
      </c>
      <c r="L762" t="str" cm="1">
        <f t="array" ref="L762">_xlfn.IFS(tblStudents[[#This Row],[Average Score]]&gt;=80,"High",tblStudents[[#This Row],[Average Score]]&gt;=60,"Meets Standard",TRUE,"At Risk")</f>
        <v>Meets Standard</v>
      </c>
      <c r="M7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763" spans="1:13" x14ac:dyDescent="0.25">
      <c r="A763" t="s">
        <v>0</v>
      </c>
      <c r="B763" t="s">
        <v>13</v>
      </c>
      <c r="C763" t="s">
        <v>15</v>
      </c>
      <c r="D763" t="s">
        <v>3</v>
      </c>
      <c r="E763" t="s">
        <v>4</v>
      </c>
      <c r="F763">
        <v>48</v>
      </c>
      <c r="G763">
        <v>58</v>
      </c>
      <c r="H763">
        <v>54</v>
      </c>
      <c r="I763" s="1">
        <f>AVERAGE(tblStudents[[#This Row],[Math Score]],tblStudents[[#This Row],[Reading Score]],tblStudents[[#This Row],[Writing Score]])</f>
        <v>53.333333333333336</v>
      </c>
      <c r="J763">
        <f>IF(tblStudents[[#This Row],[Average Score]]&gt;=60,1,0)</f>
        <v>0</v>
      </c>
      <c r="K763" t="str">
        <f>IF(tblStudents[[#This Row],[Average Score]]&gt;=60,"Pass","At Risk")</f>
        <v>At Risk</v>
      </c>
      <c r="L763" t="str" cm="1">
        <f t="array" ref="L763">_xlfn.IFS(tblStudents[[#This Row],[Average Score]]&gt;=80,"High",tblStudents[[#This Row],[Average Score]]&gt;=60,"Meets Standard",TRUE,"At Risk")</f>
        <v>At Risk</v>
      </c>
      <c r="M7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64" spans="1:13" x14ac:dyDescent="0.25">
      <c r="A764" t="s">
        <v>9</v>
      </c>
      <c r="B764" t="s">
        <v>13</v>
      </c>
      <c r="C764" t="s">
        <v>15</v>
      </c>
      <c r="D764" t="s">
        <v>3</v>
      </c>
      <c r="E764" t="s">
        <v>7</v>
      </c>
      <c r="F764">
        <v>78</v>
      </c>
      <c r="G764">
        <v>81</v>
      </c>
      <c r="H764">
        <v>86</v>
      </c>
      <c r="I764" s="1">
        <f>AVERAGE(tblStudents[[#This Row],[Math Score]],tblStudents[[#This Row],[Reading Score]],tblStudents[[#This Row],[Writing Score]])</f>
        <v>81.666666666666671</v>
      </c>
      <c r="J764">
        <f>IF(tblStudents[[#This Row],[Average Score]]&gt;=60,1,0)</f>
        <v>1</v>
      </c>
      <c r="K764" t="str">
        <f>IF(tblStudents[[#This Row],[Average Score]]&gt;=60,"Pass","At Risk")</f>
        <v>Pass</v>
      </c>
      <c r="L764" t="str" cm="1">
        <f t="array" ref="L764">_xlfn.IFS(tblStudents[[#This Row],[Average Score]]&gt;=80,"High",tblStudents[[#This Row],[Average Score]]&gt;=60,"Meets Standard",TRUE,"At Risk")</f>
        <v>High</v>
      </c>
      <c r="M7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65" spans="1:13" x14ac:dyDescent="0.25">
      <c r="A765" t="s">
        <v>0</v>
      </c>
      <c r="B765" t="s">
        <v>1</v>
      </c>
      <c r="C765" t="s">
        <v>14</v>
      </c>
      <c r="D765" t="s">
        <v>3</v>
      </c>
      <c r="E765" t="s">
        <v>4</v>
      </c>
      <c r="F765">
        <v>62</v>
      </c>
      <c r="G765">
        <v>62</v>
      </c>
      <c r="H765">
        <v>63</v>
      </c>
      <c r="I765" s="1">
        <f>AVERAGE(tblStudents[[#This Row],[Math Score]],tblStudents[[#This Row],[Reading Score]],tblStudents[[#This Row],[Writing Score]])</f>
        <v>62.333333333333336</v>
      </c>
      <c r="J765">
        <f>IF(tblStudents[[#This Row],[Average Score]]&gt;=60,1,0)</f>
        <v>1</v>
      </c>
      <c r="K765" t="str">
        <f>IF(tblStudents[[#This Row],[Average Score]]&gt;=60,"Pass","At Risk")</f>
        <v>Pass</v>
      </c>
      <c r="L765" t="str" cm="1">
        <f t="array" ref="L765">_xlfn.IFS(tblStudents[[#This Row],[Average Score]]&gt;=80,"High",tblStudents[[#This Row],[Average Score]]&gt;=60,"Meets Standard",TRUE,"At Risk")</f>
        <v>Meets Standard</v>
      </c>
      <c r="M7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766" spans="1:13" x14ac:dyDescent="0.25">
      <c r="A766" t="s">
        <v>9</v>
      </c>
      <c r="B766" t="s">
        <v>13</v>
      </c>
      <c r="C766" t="s">
        <v>6</v>
      </c>
      <c r="D766" t="s">
        <v>3</v>
      </c>
      <c r="E766" t="s">
        <v>4</v>
      </c>
      <c r="F766">
        <v>60</v>
      </c>
      <c r="G766">
        <v>63</v>
      </c>
      <c r="H766">
        <v>59</v>
      </c>
      <c r="I766" s="1">
        <f>AVERAGE(tblStudents[[#This Row],[Math Score]],tblStudents[[#This Row],[Reading Score]],tblStudents[[#This Row],[Writing Score]])</f>
        <v>60.666666666666664</v>
      </c>
      <c r="J766">
        <f>IF(tblStudents[[#This Row],[Average Score]]&gt;=60,1,0)</f>
        <v>1</v>
      </c>
      <c r="K766" t="str">
        <f>IF(tblStudents[[#This Row],[Average Score]]&gt;=60,"Pass","At Risk")</f>
        <v>Pass</v>
      </c>
      <c r="L766" t="str" cm="1">
        <f t="array" ref="L766">_xlfn.IFS(tblStudents[[#This Row],[Average Score]]&gt;=80,"High",tblStudents[[#This Row],[Average Score]]&gt;=60,"Meets Standard",TRUE,"At Risk")</f>
        <v>Meets Standard</v>
      </c>
      <c r="M7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767" spans="1:13" x14ac:dyDescent="0.25">
      <c r="A767" t="s">
        <v>0</v>
      </c>
      <c r="B767" t="s">
        <v>1</v>
      </c>
      <c r="C767" t="s">
        <v>14</v>
      </c>
      <c r="D767" t="s">
        <v>3</v>
      </c>
      <c r="E767" t="s">
        <v>4</v>
      </c>
      <c r="F767">
        <v>74</v>
      </c>
      <c r="G767">
        <v>72</v>
      </c>
      <c r="H767">
        <v>72</v>
      </c>
      <c r="I767" s="1">
        <f>AVERAGE(tblStudents[[#This Row],[Math Score]],tblStudents[[#This Row],[Reading Score]],tblStudents[[#This Row],[Writing Score]])</f>
        <v>72.666666666666671</v>
      </c>
      <c r="J767">
        <f>IF(tblStudents[[#This Row],[Average Score]]&gt;=60,1,0)</f>
        <v>1</v>
      </c>
      <c r="K767" t="str">
        <f>IF(tblStudents[[#This Row],[Average Score]]&gt;=60,"Pass","At Risk")</f>
        <v>Pass</v>
      </c>
      <c r="L767" t="str" cm="1">
        <f t="array" ref="L767">_xlfn.IFS(tblStudents[[#This Row],[Average Score]]&gt;=80,"High",tblStudents[[#This Row],[Average Score]]&gt;=60,"Meets Standard",TRUE,"At Risk")</f>
        <v>Meets Standard</v>
      </c>
      <c r="M7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768" spans="1:13" x14ac:dyDescent="0.25">
      <c r="A768" t="s">
        <v>0</v>
      </c>
      <c r="B768" t="s">
        <v>5</v>
      </c>
      <c r="C768" t="s">
        <v>14</v>
      </c>
      <c r="D768" t="s">
        <v>3</v>
      </c>
      <c r="E768" t="s">
        <v>7</v>
      </c>
      <c r="F768">
        <v>58</v>
      </c>
      <c r="G768">
        <v>75</v>
      </c>
      <c r="H768">
        <v>77</v>
      </c>
      <c r="I768" s="1">
        <f>AVERAGE(tblStudents[[#This Row],[Math Score]],tblStudents[[#This Row],[Reading Score]],tblStudents[[#This Row],[Writing Score]])</f>
        <v>70</v>
      </c>
      <c r="J768">
        <f>IF(tblStudents[[#This Row],[Average Score]]&gt;=60,1,0)</f>
        <v>1</v>
      </c>
      <c r="K768" t="str">
        <f>IF(tblStudents[[#This Row],[Average Score]]&gt;=60,"Pass","At Risk")</f>
        <v>Pass</v>
      </c>
      <c r="L768" t="str" cm="1">
        <f t="array" ref="L768">_xlfn.IFS(tblStudents[[#This Row],[Average Score]]&gt;=80,"High",tblStudents[[#This Row],[Average Score]]&gt;=60,"Meets Standard",TRUE,"At Risk")</f>
        <v>Meets Standard</v>
      </c>
      <c r="M7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769" spans="1:13" x14ac:dyDescent="0.25">
      <c r="A769" t="s">
        <v>9</v>
      </c>
      <c r="B769" t="s">
        <v>1</v>
      </c>
      <c r="C769" t="s">
        <v>14</v>
      </c>
      <c r="D769" t="s">
        <v>3</v>
      </c>
      <c r="E769" t="s">
        <v>7</v>
      </c>
      <c r="F769">
        <v>76</v>
      </c>
      <c r="G769">
        <v>62</v>
      </c>
      <c r="H769">
        <v>60</v>
      </c>
      <c r="I769" s="1">
        <f>AVERAGE(tblStudents[[#This Row],[Math Score]],tblStudents[[#This Row],[Reading Score]],tblStudents[[#This Row],[Writing Score]])</f>
        <v>66</v>
      </c>
      <c r="J769">
        <f>IF(tblStudents[[#This Row],[Average Score]]&gt;=60,1,0)</f>
        <v>1</v>
      </c>
      <c r="K769" t="str">
        <f>IF(tblStudents[[#This Row],[Average Score]]&gt;=60,"Pass","At Risk")</f>
        <v>Pass</v>
      </c>
      <c r="L769" t="str" cm="1">
        <f t="array" ref="L769">_xlfn.IFS(tblStudents[[#This Row],[Average Score]]&gt;=80,"High",tblStudents[[#This Row],[Average Score]]&gt;=60,"Meets Standard",TRUE,"At Risk")</f>
        <v>Meets Standard</v>
      </c>
      <c r="M7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770" spans="1:13" x14ac:dyDescent="0.25">
      <c r="A770" t="s">
        <v>0</v>
      </c>
      <c r="B770" t="s">
        <v>13</v>
      </c>
      <c r="C770" t="s">
        <v>15</v>
      </c>
      <c r="D770" t="s">
        <v>3</v>
      </c>
      <c r="E770" t="s">
        <v>4</v>
      </c>
      <c r="F770">
        <v>68</v>
      </c>
      <c r="G770">
        <v>71</v>
      </c>
      <c r="H770">
        <v>75</v>
      </c>
      <c r="I770" s="1">
        <f>AVERAGE(tblStudents[[#This Row],[Math Score]],tblStudents[[#This Row],[Reading Score]],tblStudents[[#This Row],[Writing Score]])</f>
        <v>71.333333333333329</v>
      </c>
      <c r="J770">
        <f>IF(tblStudents[[#This Row],[Average Score]]&gt;=60,1,0)</f>
        <v>1</v>
      </c>
      <c r="K770" t="str">
        <f>IF(tblStudents[[#This Row],[Average Score]]&gt;=60,"Pass","At Risk")</f>
        <v>Pass</v>
      </c>
      <c r="L770" t="str" cm="1">
        <f t="array" ref="L770">_xlfn.IFS(tblStudents[[#This Row],[Average Score]]&gt;=80,"High",tblStudents[[#This Row],[Average Score]]&gt;=60,"Meets Standard",TRUE,"At Risk")</f>
        <v>Meets Standard</v>
      </c>
      <c r="M7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71" spans="1:13" x14ac:dyDescent="0.25">
      <c r="A771" t="s">
        <v>9</v>
      </c>
      <c r="B771" t="s">
        <v>10</v>
      </c>
      <c r="C771" t="s">
        <v>6</v>
      </c>
      <c r="D771" t="s">
        <v>12</v>
      </c>
      <c r="E771" t="s">
        <v>4</v>
      </c>
      <c r="F771">
        <v>58</v>
      </c>
      <c r="G771">
        <v>60</v>
      </c>
      <c r="H771">
        <v>57</v>
      </c>
      <c r="I771" s="1">
        <f>AVERAGE(tblStudents[[#This Row],[Math Score]],tblStudents[[#This Row],[Reading Score]],tblStudents[[#This Row],[Writing Score]])</f>
        <v>58.333333333333336</v>
      </c>
      <c r="J771">
        <f>IF(tblStudents[[#This Row],[Average Score]]&gt;=60,1,0)</f>
        <v>0</v>
      </c>
      <c r="K771" t="str">
        <f>IF(tblStudents[[#This Row],[Average Score]]&gt;=60,"Pass","At Risk")</f>
        <v>At Risk</v>
      </c>
      <c r="L771" t="str" cm="1">
        <f t="array" ref="L771">_xlfn.IFS(tblStudents[[#This Row],[Average Score]]&gt;=80,"High",tblStudents[[#This Row],[Average Score]]&gt;=60,"Meets Standard",TRUE,"At Risk")</f>
        <v>At Risk</v>
      </c>
      <c r="M7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772" spans="1:13" x14ac:dyDescent="0.25">
      <c r="A772" t="s">
        <v>9</v>
      </c>
      <c r="B772" t="s">
        <v>1</v>
      </c>
      <c r="C772" t="s">
        <v>14</v>
      </c>
      <c r="D772" t="s">
        <v>3</v>
      </c>
      <c r="E772" t="s">
        <v>4</v>
      </c>
      <c r="F772">
        <v>52</v>
      </c>
      <c r="G772">
        <v>48</v>
      </c>
      <c r="H772">
        <v>49</v>
      </c>
      <c r="I772" s="1">
        <f>AVERAGE(tblStudents[[#This Row],[Math Score]],tblStudents[[#This Row],[Reading Score]],tblStudents[[#This Row],[Writing Score]])</f>
        <v>49.666666666666664</v>
      </c>
      <c r="J772">
        <f>IF(tblStudents[[#This Row],[Average Score]]&gt;=60,1,0)</f>
        <v>0</v>
      </c>
      <c r="K772" t="str">
        <f>IF(tblStudents[[#This Row],[Average Score]]&gt;=60,"Pass","At Risk")</f>
        <v>At Risk</v>
      </c>
      <c r="L772" t="str" cm="1">
        <f t="array" ref="L772">_xlfn.IFS(tblStudents[[#This Row],[Average Score]]&gt;=80,"High",tblStudents[[#This Row],[Average Score]]&gt;=60,"Meets Standard",TRUE,"At Risk")</f>
        <v>At Risk</v>
      </c>
      <c r="M7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773" spans="1:13" x14ac:dyDescent="0.25">
      <c r="A773" t="s">
        <v>9</v>
      </c>
      <c r="B773" t="s">
        <v>13</v>
      </c>
      <c r="C773" t="s">
        <v>2</v>
      </c>
      <c r="D773" t="s">
        <v>3</v>
      </c>
      <c r="E773" t="s">
        <v>4</v>
      </c>
      <c r="F773">
        <v>75</v>
      </c>
      <c r="G773">
        <v>73</v>
      </c>
      <c r="H773">
        <v>74</v>
      </c>
      <c r="I773" s="1">
        <f>AVERAGE(tblStudents[[#This Row],[Math Score]],tblStudents[[#This Row],[Reading Score]],tblStudents[[#This Row],[Writing Score]])</f>
        <v>74</v>
      </c>
      <c r="J773">
        <f>IF(tblStudents[[#This Row],[Average Score]]&gt;=60,1,0)</f>
        <v>1</v>
      </c>
      <c r="K773" t="str">
        <f>IF(tblStudents[[#This Row],[Average Score]]&gt;=60,"Pass","At Risk")</f>
        <v>Pass</v>
      </c>
      <c r="L773" t="str" cm="1">
        <f t="array" ref="L773">_xlfn.IFS(tblStudents[[#This Row],[Average Score]]&gt;=80,"High",tblStudents[[#This Row],[Average Score]]&gt;=60,"Meets Standard",TRUE,"At Risk")</f>
        <v>Meets Standard</v>
      </c>
      <c r="M7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774" spans="1:13" x14ac:dyDescent="0.25">
      <c r="A774" t="s">
        <v>0</v>
      </c>
      <c r="B774" t="s">
        <v>1</v>
      </c>
      <c r="C774" t="s">
        <v>15</v>
      </c>
      <c r="D774" t="s">
        <v>12</v>
      </c>
      <c r="E774" t="s">
        <v>7</v>
      </c>
      <c r="F774">
        <v>52</v>
      </c>
      <c r="G774">
        <v>67</v>
      </c>
      <c r="H774">
        <v>72</v>
      </c>
      <c r="I774" s="1">
        <f>AVERAGE(tblStudents[[#This Row],[Math Score]],tblStudents[[#This Row],[Reading Score]],tblStudents[[#This Row],[Writing Score]])</f>
        <v>63.666666666666664</v>
      </c>
      <c r="J774">
        <f>IF(tblStudents[[#This Row],[Average Score]]&gt;=60,1,0)</f>
        <v>1</v>
      </c>
      <c r="K774" t="str">
        <f>IF(tblStudents[[#This Row],[Average Score]]&gt;=60,"Pass","At Risk")</f>
        <v>Pass</v>
      </c>
      <c r="L774" t="str" cm="1">
        <f t="array" ref="L774">_xlfn.IFS(tblStudents[[#This Row],[Average Score]]&gt;=80,"High",tblStudents[[#This Row],[Average Score]]&gt;=60,"Meets Standard",TRUE,"At Risk")</f>
        <v>Meets Standard</v>
      </c>
      <c r="M7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775" spans="1:13" x14ac:dyDescent="0.25">
      <c r="A775" t="s">
        <v>0</v>
      </c>
      <c r="B775" t="s">
        <v>5</v>
      </c>
      <c r="C775" t="s">
        <v>2</v>
      </c>
      <c r="D775" t="s">
        <v>12</v>
      </c>
      <c r="E775" t="s">
        <v>4</v>
      </c>
      <c r="F775">
        <v>62</v>
      </c>
      <c r="G775">
        <v>78</v>
      </c>
      <c r="H775">
        <v>79</v>
      </c>
      <c r="I775" s="1">
        <f>AVERAGE(tblStudents[[#This Row],[Math Score]],tblStudents[[#This Row],[Reading Score]],tblStudents[[#This Row],[Writing Score]])</f>
        <v>73</v>
      </c>
      <c r="J775">
        <f>IF(tblStudents[[#This Row],[Average Score]]&gt;=60,1,0)</f>
        <v>1</v>
      </c>
      <c r="K775" t="str">
        <f>IF(tblStudents[[#This Row],[Average Score]]&gt;=60,"Pass","At Risk")</f>
        <v>Pass</v>
      </c>
      <c r="L775" t="str" cm="1">
        <f t="array" ref="L775">_xlfn.IFS(tblStudents[[#This Row],[Average Score]]&gt;=80,"High",tblStudents[[#This Row],[Average Score]]&gt;=60,"Meets Standard",TRUE,"At Risk")</f>
        <v>Meets Standard</v>
      </c>
      <c r="M7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776" spans="1:13" x14ac:dyDescent="0.25">
      <c r="A776" t="s">
        <v>9</v>
      </c>
      <c r="B776" t="s">
        <v>1</v>
      </c>
      <c r="C776" t="s">
        <v>6</v>
      </c>
      <c r="D776" t="s">
        <v>3</v>
      </c>
      <c r="E776" t="s">
        <v>4</v>
      </c>
      <c r="F776">
        <v>66</v>
      </c>
      <c r="G776">
        <v>65</v>
      </c>
      <c r="H776">
        <v>60</v>
      </c>
      <c r="I776" s="1">
        <f>AVERAGE(tblStudents[[#This Row],[Math Score]],tblStudents[[#This Row],[Reading Score]],tblStudents[[#This Row],[Writing Score]])</f>
        <v>63.666666666666664</v>
      </c>
      <c r="J776">
        <f>IF(tblStudents[[#This Row],[Average Score]]&gt;=60,1,0)</f>
        <v>1</v>
      </c>
      <c r="K776" t="str">
        <f>IF(tblStudents[[#This Row],[Average Score]]&gt;=60,"Pass","At Risk")</f>
        <v>Pass</v>
      </c>
      <c r="L776" t="str" cm="1">
        <f t="array" ref="L776">_xlfn.IFS(tblStudents[[#This Row],[Average Score]]&gt;=80,"High",tblStudents[[#This Row],[Average Score]]&gt;=60,"Meets Standard",TRUE,"At Risk")</f>
        <v>Meets Standard</v>
      </c>
      <c r="M7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77" spans="1:13" x14ac:dyDescent="0.25">
      <c r="A777" t="s">
        <v>0</v>
      </c>
      <c r="B777" t="s">
        <v>1</v>
      </c>
      <c r="C777" t="s">
        <v>15</v>
      </c>
      <c r="D777" t="s">
        <v>12</v>
      </c>
      <c r="E777" t="s">
        <v>4</v>
      </c>
      <c r="F777">
        <v>49</v>
      </c>
      <c r="G777">
        <v>58</v>
      </c>
      <c r="H777">
        <v>55</v>
      </c>
      <c r="I777" s="1">
        <f>AVERAGE(tblStudents[[#This Row],[Math Score]],tblStudents[[#This Row],[Reading Score]],tblStudents[[#This Row],[Writing Score]])</f>
        <v>54</v>
      </c>
      <c r="J777">
        <f>IF(tblStudents[[#This Row],[Average Score]]&gt;=60,1,0)</f>
        <v>0</v>
      </c>
      <c r="K777" t="str">
        <f>IF(tblStudents[[#This Row],[Average Score]]&gt;=60,"Pass","At Risk")</f>
        <v>At Risk</v>
      </c>
      <c r="L777" t="str" cm="1">
        <f t="array" ref="L777">_xlfn.IFS(tblStudents[[#This Row],[Average Score]]&gt;=80,"High",tblStudents[[#This Row],[Average Score]]&gt;=60,"Meets Standard",TRUE,"At Risk")</f>
        <v>At Risk</v>
      </c>
      <c r="M7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778" spans="1:13" x14ac:dyDescent="0.25">
      <c r="A778" t="s">
        <v>0</v>
      </c>
      <c r="B778" t="s">
        <v>1</v>
      </c>
      <c r="C778" t="s">
        <v>14</v>
      </c>
      <c r="D778" t="s">
        <v>3</v>
      </c>
      <c r="E778" t="s">
        <v>4</v>
      </c>
      <c r="F778">
        <v>66</v>
      </c>
      <c r="G778">
        <v>72</v>
      </c>
      <c r="H778">
        <v>70</v>
      </c>
      <c r="I778" s="1">
        <f>AVERAGE(tblStudents[[#This Row],[Math Score]],tblStudents[[#This Row],[Reading Score]],tblStudents[[#This Row],[Writing Score]])</f>
        <v>69.333333333333329</v>
      </c>
      <c r="J778">
        <f>IF(tblStudents[[#This Row],[Average Score]]&gt;=60,1,0)</f>
        <v>1</v>
      </c>
      <c r="K778" t="str">
        <f>IF(tblStudents[[#This Row],[Average Score]]&gt;=60,"Pass","At Risk")</f>
        <v>Pass</v>
      </c>
      <c r="L778" t="str" cm="1">
        <f t="array" ref="L778">_xlfn.IFS(tblStudents[[#This Row],[Average Score]]&gt;=80,"High",tblStudents[[#This Row],[Average Score]]&gt;=60,"Meets Standard",TRUE,"At Risk")</f>
        <v>Meets Standard</v>
      </c>
      <c r="M7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779" spans="1:13" x14ac:dyDescent="0.25">
      <c r="A779" t="s">
        <v>0</v>
      </c>
      <c r="B779" t="s">
        <v>5</v>
      </c>
      <c r="C779" t="s">
        <v>6</v>
      </c>
      <c r="D779" t="s">
        <v>12</v>
      </c>
      <c r="E779" t="s">
        <v>4</v>
      </c>
      <c r="F779">
        <v>35</v>
      </c>
      <c r="G779">
        <v>44</v>
      </c>
      <c r="H779">
        <v>43</v>
      </c>
      <c r="I779" s="1">
        <f>AVERAGE(tblStudents[[#This Row],[Math Score]],tblStudents[[#This Row],[Reading Score]],tblStudents[[#This Row],[Writing Score]])</f>
        <v>40.666666666666664</v>
      </c>
      <c r="J779">
        <f>IF(tblStudents[[#This Row],[Average Score]]&gt;=60,1,0)</f>
        <v>0</v>
      </c>
      <c r="K779" t="str">
        <f>IF(tblStudents[[#This Row],[Average Score]]&gt;=60,"Pass","At Risk")</f>
        <v>At Risk</v>
      </c>
      <c r="L779" t="str" cm="1">
        <f t="array" ref="L779">_xlfn.IFS(tblStudents[[#This Row],[Average Score]]&gt;=80,"High",tblStudents[[#This Row],[Average Score]]&gt;=60,"Meets Standard",TRUE,"At Risk")</f>
        <v>At Risk</v>
      </c>
      <c r="M7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780" spans="1:13" x14ac:dyDescent="0.25">
      <c r="A780" t="s">
        <v>0</v>
      </c>
      <c r="B780" t="s">
        <v>10</v>
      </c>
      <c r="C780" t="s">
        <v>6</v>
      </c>
      <c r="D780" t="s">
        <v>3</v>
      </c>
      <c r="E780" t="s">
        <v>7</v>
      </c>
      <c r="F780">
        <v>72</v>
      </c>
      <c r="G780">
        <v>79</v>
      </c>
      <c r="H780">
        <v>82</v>
      </c>
      <c r="I780" s="1">
        <f>AVERAGE(tblStudents[[#This Row],[Math Score]],tblStudents[[#This Row],[Reading Score]],tblStudents[[#This Row],[Writing Score]])</f>
        <v>77.666666666666671</v>
      </c>
      <c r="J780">
        <f>IF(tblStudents[[#This Row],[Average Score]]&gt;=60,1,0)</f>
        <v>1</v>
      </c>
      <c r="K780" t="str">
        <f>IF(tblStudents[[#This Row],[Average Score]]&gt;=60,"Pass","At Risk")</f>
        <v>Pass</v>
      </c>
      <c r="L780" t="str" cm="1">
        <f t="array" ref="L780">_xlfn.IFS(tblStudents[[#This Row],[Average Score]]&gt;=80,"High",tblStudents[[#This Row],[Average Score]]&gt;=60,"Meets Standard",TRUE,"At Risk")</f>
        <v>Meets Standard</v>
      </c>
      <c r="M7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81" spans="1:13" x14ac:dyDescent="0.25">
      <c r="A781" t="s">
        <v>9</v>
      </c>
      <c r="B781" t="s">
        <v>16</v>
      </c>
      <c r="C781" t="s">
        <v>11</v>
      </c>
      <c r="D781" t="s">
        <v>3</v>
      </c>
      <c r="E781" t="s">
        <v>7</v>
      </c>
      <c r="F781">
        <v>94</v>
      </c>
      <c r="G781">
        <v>85</v>
      </c>
      <c r="H781">
        <v>82</v>
      </c>
      <c r="I781" s="1">
        <f>AVERAGE(tblStudents[[#This Row],[Math Score]],tblStudents[[#This Row],[Reading Score]],tblStudents[[#This Row],[Writing Score]])</f>
        <v>87</v>
      </c>
      <c r="J781">
        <f>IF(tblStudents[[#This Row],[Average Score]]&gt;=60,1,0)</f>
        <v>1</v>
      </c>
      <c r="K781" t="str">
        <f>IF(tblStudents[[#This Row],[Average Score]]&gt;=60,"Pass","At Risk")</f>
        <v>Pass</v>
      </c>
      <c r="L781" t="str" cm="1">
        <f t="array" ref="L781">_xlfn.IFS(tblStudents[[#This Row],[Average Score]]&gt;=80,"High",tblStudents[[#This Row],[Average Score]]&gt;=60,"Meets Standard",TRUE,"At Risk")</f>
        <v>High</v>
      </c>
      <c r="M7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82" spans="1:13" x14ac:dyDescent="0.25">
      <c r="A782" t="s">
        <v>0</v>
      </c>
      <c r="B782" t="s">
        <v>13</v>
      </c>
      <c r="C782" t="s">
        <v>11</v>
      </c>
      <c r="D782" t="s">
        <v>12</v>
      </c>
      <c r="E782" t="s">
        <v>4</v>
      </c>
      <c r="F782">
        <v>46</v>
      </c>
      <c r="G782">
        <v>56</v>
      </c>
      <c r="H782">
        <v>57</v>
      </c>
      <c r="I782" s="1">
        <f>AVERAGE(tblStudents[[#This Row],[Math Score]],tblStudents[[#This Row],[Reading Score]],tblStudents[[#This Row],[Writing Score]])</f>
        <v>53</v>
      </c>
      <c r="J782">
        <f>IF(tblStudents[[#This Row],[Average Score]]&gt;=60,1,0)</f>
        <v>0</v>
      </c>
      <c r="K782" t="str">
        <f>IF(tblStudents[[#This Row],[Average Score]]&gt;=60,"Pass","At Risk")</f>
        <v>At Risk</v>
      </c>
      <c r="L782" t="str" cm="1">
        <f t="array" ref="L782">_xlfn.IFS(tblStudents[[#This Row],[Average Score]]&gt;=80,"High",tblStudents[[#This Row],[Average Score]]&gt;=60,"Meets Standard",TRUE,"At Risk")</f>
        <v>At Risk</v>
      </c>
      <c r="M7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783" spans="1:13" x14ac:dyDescent="0.25">
      <c r="A783" t="s">
        <v>0</v>
      </c>
      <c r="B783" t="s">
        <v>1</v>
      </c>
      <c r="C783" t="s">
        <v>8</v>
      </c>
      <c r="D783" t="s">
        <v>3</v>
      </c>
      <c r="E783" t="s">
        <v>4</v>
      </c>
      <c r="F783">
        <v>77</v>
      </c>
      <c r="G783">
        <v>90</v>
      </c>
      <c r="H783">
        <v>84</v>
      </c>
      <c r="I783" s="1">
        <f>AVERAGE(tblStudents[[#This Row],[Math Score]],tblStudents[[#This Row],[Reading Score]],tblStudents[[#This Row],[Writing Score]])</f>
        <v>83.666666666666671</v>
      </c>
      <c r="J783">
        <f>IF(tblStudents[[#This Row],[Average Score]]&gt;=60,1,0)</f>
        <v>1</v>
      </c>
      <c r="K783" t="str">
        <f>IF(tblStudents[[#This Row],[Average Score]]&gt;=60,"Pass","At Risk")</f>
        <v>Pass</v>
      </c>
      <c r="L783" t="str" cm="1">
        <f t="array" ref="L783">_xlfn.IFS(tblStudents[[#This Row],[Average Score]]&gt;=80,"High",tblStudents[[#This Row],[Average Score]]&gt;=60,"Meets Standard",TRUE,"At Risk")</f>
        <v>High</v>
      </c>
      <c r="M7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784" spans="1:13" x14ac:dyDescent="0.25">
      <c r="A784" t="s">
        <v>0</v>
      </c>
      <c r="B784" t="s">
        <v>1</v>
      </c>
      <c r="C784" t="s">
        <v>14</v>
      </c>
      <c r="D784" t="s">
        <v>12</v>
      </c>
      <c r="E784" t="s">
        <v>7</v>
      </c>
      <c r="F784">
        <v>76</v>
      </c>
      <c r="G784">
        <v>85</v>
      </c>
      <c r="H784">
        <v>82</v>
      </c>
      <c r="I784" s="1">
        <f>AVERAGE(tblStudents[[#This Row],[Math Score]],tblStudents[[#This Row],[Reading Score]],tblStudents[[#This Row],[Writing Score]])</f>
        <v>81</v>
      </c>
      <c r="J784">
        <f>IF(tblStudents[[#This Row],[Average Score]]&gt;=60,1,0)</f>
        <v>1</v>
      </c>
      <c r="K784" t="str">
        <f>IF(tblStudents[[#This Row],[Average Score]]&gt;=60,"Pass","At Risk")</f>
        <v>Pass</v>
      </c>
      <c r="L784" t="str" cm="1">
        <f t="array" ref="L784">_xlfn.IFS(tblStudents[[#This Row],[Average Score]]&gt;=80,"High",tblStudents[[#This Row],[Average Score]]&gt;=60,"Meets Standard",TRUE,"At Risk")</f>
        <v>High</v>
      </c>
      <c r="M7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785" spans="1:13" x14ac:dyDescent="0.25">
      <c r="A785" t="s">
        <v>0</v>
      </c>
      <c r="B785" t="s">
        <v>5</v>
      </c>
      <c r="C785" t="s">
        <v>11</v>
      </c>
      <c r="D785" t="s">
        <v>3</v>
      </c>
      <c r="E785" t="s">
        <v>7</v>
      </c>
      <c r="F785">
        <v>52</v>
      </c>
      <c r="G785">
        <v>59</v>
      </c>
      <c r="H785">
        <v>62</v>
      </c>
      <c r="I785" s="1">
        <f>AVERAGE(tblStudents[[#This Row],[Math Score]],tblStudents[[#This Row],[Reading Score]],tblStudents[[#This Row],[Writing Score]])</f>
        <v>57.666666666666664</v>
      </c>
      <c r="J785">
        <f>IF(tblStudents[[#This Row],[Average Score]]&gt;=60,1,0)</f>
        <v>0</v>
      </c>
      <c r="K785" t="str">
        <f>IF(tblStudents[[#This Row],[Average Score]]&gt;=60,"Pass","At Risk")</f>
        <v>At Risk</v>
      </c>
      <c r="L785" t="str" cm="1">
        <f t="array" ref="L785">_xlfn.IFS(tblStudents[[#This Row],[Average Score]]&gt;=80,"High",tblStudents[[#This Row],[Average Score]]&gt;=60,"Meets Standard",TRUE,"At Risk")</f>
        <v>At Risk</v>
      </c>
      <c r="M7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86" spans="1:13" x14ac:dyDescent="0.25">
      <c r="A786" t="s">
        <v>9</v>
      </c>
      <c r="B786" t="s">
        <v>5</v>
      </c>
      <c r="C786" t="s">
        <v>2</v>
      </c>
      <c r="D786" t="s">
        <v>3</v>
      </c>
      <c r="E786" t="s">
        <v>7</v>
      </c>
      <c r="F786">
        <v>91</v>
      </c>
      <c r="G786">
        <v>81</v>
      </c>
      <c r="H786">
        <v>79</v>
      </c>
      <c r="I786" s="1">
        <f>AVERAGE(tblStudents[[#This Row],[Math Score]],tblStudents[[#This Row],[Reading Score]],tblStudents[[#This Row],[Writing Score]])</f>
        <v>83.666666666666671</v>
      </c>
      <c r="J786">
        <f>IF(tblStudents[[#This Row],[Average Score]]&gt;=60,1,0)</f>
        <v>1</v>
      </c>
      <c r="K786" t="str">
        <f>IF(tblStudents[[#This Row],[Average Score]]&gt;=60,"Pass","At Risk")</f>
        <v>Pass</v>
      </c>
      <c r="L786" t="str" cm="1">
        <f t="array" ref="L786">_xlfn.IFS(tblStudents[[#This Row],[Average Score]]&gt;=80,"High",tblStudents[[#This Row],[Average Score]]&gt;=60,"Meets Standard",TRUE,"At Risk")</f>
        <v>High</v>
      </c>
      <c r="M7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87" spans="1:13" x14ac:dyDescent="0.25">
      <c r="A787" t="s">
        <v>0</v>
      </c>
      <c r="B787" t="s">
        <v>1</v>
      </c>
      <c r="C787" t="s">
        <v>15</v>
      </c>
      <c r="D787" t="s">
        <v>3</v>
      </c>
      <c r="E787" t="s">
        <v>7</v>
      </c>
      <c r="F787">
        <v>32</v>
      </c>
      <c r="G787">
        <v>51</v>
      </c>
      <c r="H787">
        <v>44</v>
      </c>
      <c r="I787" s="1">
        <f>AVERAGE(tblStudents[[#This Row],[Math Score]],tblStudents[[#This Row],[Reading Score]],tblStudents[[#This Row],[Writing Score]])</f>
        <v>42.333333333333336</v>
      </c>
      <c r="J787">
        <f>IF(tblStudents[[#This Row],[Average Score]]&gt;=60,1,0)</f>
        <v>0</v>
      </c>
      <c r="K787" t="str">
        <f>IF(tblStudents[[#This Row],[Average Score]]&gt;=60,"Pass","At Risk")</f>
        <v>At Risk</v>
      </c>
      <c r="L787" t="str" cm="1">
        <f t="array" ref="L787">_xlfn.IFS(tblStudents[[#This Row],[Average Score]]&gt;=80,"High",tblStudents[[#This Row],[Average Score]]&gt;=60,"Meets Standard",TRUE,"At Risk")</f>
        <v>At Risk</v>
      </c>
      <c r="M7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788" spans="1:13" x14ac:dyDescent="0.25">
      <c r="A788" t="s">
        <v>0</v>
      </c>
      <c r="B788" t="s">
        <v>16</v>
      </c>
      <c r="C788" t="s">
        <v>15</v>
      </c>
      <c r="D788" t="s">
        <v>12</v>
      </c>
      <c r="E788" t="s">
        <v>4</v>
      </c>
      <c r="F788">
        <v>72</v>
      </c>
      <c r="G788">
        <v>79</v>
      </c>
      <c r="H788">
        <v>77</v>
      </c>
      <c r="I788" s="1">
        <f>AVERAGE(tblStudents[[#This Row],[Math Score]],tblStudents[[#This Row],[Reading Score]],tblStudents[[#This Row],[Writing Score]])</f>
        <v>76</v>
      </c>
      <c r="J788">
        <f>IF(tblStudents[[#This Row],[Average Score]]&gt;=60,1,0)</f>
        <v>1</v>
      </c>
      <c r="K788" t="str">
        <f>IF(tblStudents[[#This Row],[Average Score]]&gt;=60,"Pass","At Risk")</f>
        <v>Pass</v>
      </c>
      <c r="L788" t="str" cm="1">
        <f t="array" ref="L788">_xlfn.IFS(tblStudents[[#This Row],[Average Score]]&gt;=80,"High",tblStudents[[#This Row],[Average Score]]&gt;=60,"Meets Standard",TRUE,"At Risk")</f>
        <v>Meets Standard</v>
      </c>
      <c r="M7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89" spans="1:13" x14ac:dyDescent="0.25">
      <c r="A789" t="s">
        <v>0</v>
      </c>
      <c r="B789" t="s">
        <v>1</v>
      </c>
      <c r="C789" t="s">
        <v>6</v>
      </c>
      <c r="D789" t="s">
        <v>3</v>
      </c>
      <c r="E789" t="s">
        <v>4</v>
      </c>
      <c r="F789">
        <v>19</v>
      </c>
      <c r="G789">
        <v>38</v>
      </c>
      <c r="H789">
        <v>32</v>
      </c>
      <c r="I789" s="1">
        <f>AVERAGE(tblStudents[[#This Row],[Math Score]],tblStudents[[#This Row],[Reading Score]],tblStudents[[#This Row],[Writing Score]])</f>
        <v>29.666666666666668</v>
      </c>
      <c r="J789">
        <f>IF(tblStudents[[#This Row],[Average Score]]&gt;=60,1,0)</f>
        <v>0</v>
      </c>
      <c r="K789" t="str">
        <f>IF(tblStudents[[#This Row],[Average Score]]&gt;=60,"Pass","At Risk")</f>
        <v>At Risk</v>
      </c>
      <c r="L789" t="str" cm="1">
        <f t="array" ref="L789">_xlfn.IFS(tblStudents[[#This Row],[Average Score]]&gt;=80,"High",tblStudents[[#This Row],[Average Score]]&gt;=60,"Meets Standard",TRUE,"At Risk")</f>
        <v>At Risk</v>
      </c>
      <c r="M7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790" spans="1:13" x14ac:dyDescent="0.25">
      <c r="A790" t="s">
        <v>9</v>
      </c>
      <c r="B790" t="s">
        <v>5</v>
      </c>
      <c r="C790" t="s">
        <v>11</v>
      </c>
      <c r="D790" t="s">
        <v>12</v>
      </c>
      <c r="E790" t="s">
        <v>4</v>
      </c>
      <c r="F790">
        <v>68</v>
      </c>
      <c r="G790">
        <v>65</v>
      </c>
      <c r="H790">
        <v>61</v>
      </c>
      <c r="I790" s="1">
        <f>AVERAGE(tblStudents[[#This Row],[Math Score]],tblStudents[[#This Row],[Reading Score]],tblStudents[[#This Row],[Writing Score]])</f>
        <v>64.666666666666671</v>
      </c>
      <c r="J790">
        <f>IF(tblStudents[[#This Row],[Average Score]]&gt;=60,1,0)</f>
        <v>1</v>
      </c>
      <c r="K790" t="str">
        <f>IF(tblStudents[[#This Row],[Average Score]]&gt;=60,"Pass","At Risk")</f>
        <v>Pass</v>
      </c>
      <c r="L790" t="str" cm="1">
        <f t="array" ref="L790">_xlfn.IFS(tblStudents[[#This Row],[Average Score]]&gt;=80,"High",tblStudents[[#This Row],[Average Score]]&gt;=60,"Meets Standard",TRUE,"At Risk")</f>
        <v>Meets Standard</v>
      </c>
      <c r="M7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791" spans="1:13" x14ac:dyDescent="0.25">
      <c r="A791" t="s">
        <v>0</v>
      </c>
      <c r="B791" t="s">
        <v>5</v>
      </c>
      <c r="C791" t="s">
        <v>8</v>
      </c>
      <c r="D791" t="s">
        <v>12</v>
      </c>
      <c r="E791" t="s">
        <v>4</v>
      </c>
      <c r="F791">
        <v>52</v>
      </c>
      <c r="G791">
        <v>65</v>
      </c>
      <c r="H791">
        <v>61</v>
      </c>
      <c r="I791" s="1">
        <f>AVERAGE(tblStudents[[#This Row],[Math Score]],tblStudents[[#This Row],[Reading Score]],tblStudents[[#This Row],[Writing Score]])</f>
        <v>59.333333333333336</v>
      </c>
      <c r="J791">
        <f>IF(tblStudents[[#This Row],[Average Score]]&gt;=60,1,0)</f>
        <v>0</v>
      </c>
      <c r="K791" t="str">
        <f>IF(tblStudents[[#This Row],[Average Score]]&gt;=60,"Pass","At Risk")</f>
        <v>At Risk</v>
      </c>
      <c r="L791" t="str" cm="1">
        <f t="array" ref="L791">_xlfn.IFS(tblStudents[[#This Row],[Average Score]]&gt;=80,"High",tblStudents[[#This Row],[Average Score]]&gt;=60,"Meets Standard",TRUE,"At Risk")</f>
        <v>At Risk</v>
      </c>
      <c r="M7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792" spans="1:13" x14ac:dyDescent="0.25">
      <c r="A792" t="s">
        <v>0</v>
      </c>
      <c r="B792" t="s">
        <v>1</v>
      </c>
      <c r="C792" t="s">
        <v>14</v>
      </c>
      <c r="D792" t="s">
        <v>3</v>
      </c>
      <c r="E792" t="s">
        <v>4</v>
      </c>
      <c r="F792">
        <v>48</v>
      </c>
      <c r="G792">
        <v>62</v>
      </c>
      <c r="H792">
        <v>60</v>
      </c>
      <c r="I792" s="1">
        <f>AVERAGE(tblStudents[[#This Row],[Math Score]],tblStudents[[#This Row],[Reading Score]],tblStudents[[#This Row],[Writing Score]])</f>
        <v>56.666666666666664</v>
      </c>
      <c r="J792">
        <f>IF(tblStudents[[#This Row],[Average Score]]&gt;=60,1,0)</f>
        <v>0</v>
      </c>
      <c r="K792" t="str">
        <f>IF(tblStudents[[#This Row],[Average Score]]&gt;=60,"Pass","At Risk")</f>
        <v>At Risk</v>
      </c>
      <c r="L792" t="str" cm="1">
        <f t="array" ref="L792">_xlfn.IFS(tblStudents[[#This Row],[Average Score]]&gt;=80,"High",tblStudents[[#This Row],[Average Score]]&gt;=60,"Meets Standard",TRUE,"At Risk")</f>
        <v>At Risk</v>
      </c>
      <c r="M7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793" spans="1:13" x14ac:dyDescent="0.25">
      <c r="A793" t="s">
        <v>0</v>
      </c>
      <c r="B793" t="s">
        <v>13</v>
      </c>
      <c r="C793" t="s">
        <v>6</v>
      </c>
      <c r="D793" t="s">
        <v>12</v>
      </c>
      <c r="E793" t="s">
        <v>4</v>
      </c>
      <c r="F793">
        <v>60</v>
      </c>
      <c r="G793">
        <v>66</v>
      </c>
      <c r="H793">
        <v>70</v>
      </c>
      <c r="I793" s="1">
        <f>AVERAGE(tblStudents[[#This Row],[Math Score]],tblStudents[[#This Row],[Reading Score]],tblStudents[[#This Row],[Writing Score]])</f>
        <v>65.333333333333329</v>
      </c>
      <c r="J793">
        <f>IF(tblStudents[[#This Row],[Average Score]]&gt;=60,1,0)</f>
        <v>1</v>
      </c>
      <c r="K793" t="str">
        <f>IF(tblStudents[[#This Row],[Average Score]]&gt;=60,"Pass","At Risk")</f>
        <v>Pass</v>
      </c>
      <c r="L793" t="str" cm="1">
        <f t="array" ref="L793">_xlfn.IFS(tblStudents[[#This Row],[Average Score]]&gt;=80,"High",tblStudents[[#This Row],[Average Score]]&gt;=60,"Meets Standard",TRUE,"At Risk")</f>
        <v>Meets Standard</v>
      </c>
      <c r="M7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94" spans="1:13" x14ac:dyDescent="0.25">
      <c r="A794" t="s">
        <v>9</v>
      </c>
      <c r="B794" t="s">
        <v>13</v>
      </c>
      <c r="C794" t="s">
        <v>14</v>
      </c>
      <c r="D794" t="s">
        <v>12</v>
      </c>
      <c r="E794" t="s">
        <v>4</v>
      </c>
      <c r="F794">
        <v>66</v>
      </c>
      <c r="G794">
        <v>74</v>
      </c>
      <c r="H794">
        <v>69</v>
      </c>
      <c r="I794" s="1">
        <f>AVERAGE(tblStudents[[#This Row],[Math Score]],tblStudents[[#This Row],[Reading Score]],tblStudents[[#This Row],[Writing Score]])</f>
        <v>69.666666666666671</v>
      </c>
      <c r="J794">
        <f>IF(tblStudents[[#This Row],[Average Score]]&gt;=60,1,0)</f>
        <v>1</v>
      </c>
      <c r="K794" t="str">
        <f>IF(tblStudents[[#This Row],[Average Score]]&gt;=60,"Pass","At Risk")</f>
        <v>Pass</v>
      </c>
      <c r="L794" t="str" cm="1">
        <f t="array" ref="L794">_xlfn.IFS(tblStudents[[#This Row],[Average Score]]&gt;=80,"High",tblStudents[[#This Row],[Average Score]]&gt;=60,"Meets Standard",TRUE,"At Risk")</f>
        <v>Meets Standard</v>
      </c>
      <c r="M7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795" spans="1:13" x14ac:dyDescent="0.25">
      <c r="A795" t="s">
        <v>9</v>
      </c>
      <c r="B795" t="s">
        <v>16</v>
      </c>
      <c r="C795" t="s">
        <v>15</v>
      </c>
      <c r="D795" t="s">
        <v>3</v>
      </c>
      <c r="E795" t="s">
        <v>7</v>
      </c>
      <c r="F795">
        <v>89</v>
      </c>
      <c r="G795">
        <v>84</v>
      </c>
      <c r="H795">
        <v>77</v>
      </c>
      <c r="I795" s="1">
        <f>AVERAGE(tblStudents[[#This Row],[Math Score]],tblStudents[[#This Row],[Reading Score]],tblStudents[[#This Row],[Writing Score]])</f>
        <v>83.333333333333329</v>
      </c>
      <c r="J795">
        <f>IF(tblStudents[[#This Row],[Average Score]]&gt;=60,1,0)</f>
        <v>1</v>
      </c>
      <c r="K795" t="str">
        <f>IF(tblStudents[[#This Row],[Average Score]]&gt;=60,"Pass","At Risk")</f>
        <v>Pass</v>
      </c>
      <c r="L795" t="str" cm="1">
        <f t="array" ref="L795">_xlfn.IFS(tblStudents[[#This Row],[Average Score]]&gt;=80,"High",tblStudents[[#This Row],[Average Score]]&gt;=60,"Meets Standard",TRUE,"At Risk")</f>
        <v>High</v>
      </c>
      <c r="M7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796" spans="1:13" x14ac:dyDescent="0.25">
      <c r="A796" t="s">
        <v>0</v>
      </c>
      <c r="B796" t="s">
        <v>1</v>
      </c>
      <c r="C796" t="s">
        <v>14</v>
      </c>
      <c r="D796" t="s">
        <v>3</v>
      </c>
      <c r="E796" t="s">
        <v>4</v>
      </c>
      <c r="F796">
        <v>42</v>
      </c>
      <c r="G796">
        <v>52</v>
      </c>
      <c r="H796">
        <v>51</v>
      </c>
      <c r="I796" s="1">
        <f>AVERAGE(tblStudents[[#This Row],[Math Score]],tblStudents[[#This Row],[Reading Score]],tblStudents[[#This Row],[Writing Score]])</f>
        <v>48.333333333333336</v>
      </c>
      <c r="J796">
        <f>IF(tblStudents[[#This Row],[Average Score]]&gt;=60,1,0)</f>
        <v>0</v>
      </c>
      <c r="K796" t="str">
        <f>IF(tblStudents[[#This Row],[Average Score]]&gt;=60,"Pass","At Risk")</f>
        <v>At Risk</v>
      </c>
      <c r="L796" t="str" cm="1">
        <f t="array" ref="L796">_xlfn.IFS(tblStudents[[#This Row],[Average Score]]&gt;=80,"High",tblStudents[[#This Row],[Average Score]]&gt;=60,"Meets Standard",TRUE,"At Risk")</f>
        <v>At Risk</v>
      </c>
      <c r="M7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797" spans="1:13" x14ac:dyDescent="0.25">
      <c r="A797" t="s">
        <v>0</v>
      </c>
      <c r="B797" t="s">
        <v>16</v>
      </c>
      <c r="C797" t="s">
        <v>11</v>
      </c>
      <c r="D797" t="s">
        <v>12</v>
      </c>
      <c r="E797" t="s">
        <v>7</v>
      </c>
      <c r="F797">
        <v>57</v>
      </c>
      <c r="G797">
        <v>68</v>
      </c>
      <c r="H797">
        <v>73</v>
      </c>
      <c r="I797" s="1">
        <f>AVERAGE(tblStudents[[#This Row],[Math Score]],tblStudents[[#This Row],[Reading Score]],tblStudents[[#This Row],[Writing Score]])</f>
        <v>66</v>
      </c>
      <c r="J797">
        <f>IF(tblStudents[[#This Row],[Average Score]]&gt;=60,1,0)</f>
        <v>1</v>
      </c>
      <c r="K797" t="str">
        <f>IF(tblStudents[[#This Row],[Average Score]]&gt;=60,"Pass","At Risk")</f>
        <v>Pass</v>
      </c>
      <c r="L797" t="str" cm="1">
        <f t="array" ref="L797">_xlfn.IFS(tblStudents[[#This Row],[Average Score]]&gt;=80,"High",tblStudents[[#This Row],[Average Score]]&gt;=60,"Meets Standard",TRUE,"At Risk")</f>
        <v>Meets Standard</v>
      </c>
      <c r="M7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798" spans="1:13" x14ac:dyDescent="0.25">
      <c r="A798" t="s">
        <v>9</v>
      </c>
      <c r="B798" t="s">
        <v>13</v>
      </c>
      <c r="C798" t="s">
        <v>14</v>
      </c>
      <c r="D798" t="s">
        <v>3</v>
      </c>
      <c r="E798" t="s">
        <v>4</v>
      </c>
      <c r="F798">
        <v>70</v>
      </c>
      <c r="G798">
        <v>70</v>
      </c>
      <c r="H798">
        <v>70</v>
      </c>
      <c r="I798" s="1">
        <f>AVERAGE(tblStudents[[#This Row],[Math Score]],tblStudents[[#This Row],[Reading Score]],tblStudents[[#This Row],[Writing Score]])</f>
        <v>70</v>
      </c>
      <c r="J798">
        <f>IF(tblStudents[[#This Row],[Average Score]]&gt;=60,1,0)</f>
        <v>1</v>
      </c>
      <c r="K798" t="str">
        <f>IF(tblStudents[[#This Row],[Average Score]]&gt;=60,"Pass","At Risk")</f>
        <v>Pass</v>
      </c>
      <c r="L798" t="str" cm="1">
        <f t="array" ref="L798">_xlfn.IFS(tblStudents[[#This Row],[Average Score]]&gt;=80,"High",tblStudents[[#This Row],[Average Score]]&gt;=60,"Meets Standard",TRUE,"At Risk")</f>
        <v>Meets Standard</v>
      </c>
      <c r="M7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0</v>
      </c>
    </row>
    <row r="799" spans="1:13" x14ac:dyDescent="0.25">
      <c r="A799" t="s">
        <v>0</v>
      </c>
      <c r="B799" t="s">
        <v>16</v>
      </c>
      <c r="C799" t="s">
        <v>11</v>
      </c>
      <c r="D799" t="s">
        <v>12</v>
      </c>
      <c r="E799" t="s">
        <v>4</v>
      </c>
      <c r="F799">
        <v>70</v>
      </c>
      <c r="G799">
        <v>84</v>
      </c>
      <c r="H799">
        <v>81</v>
      </c>
      <c r="I799" s="1">
        <f>AVERAGE(tblStudents[[#This Row],[Math Score]],tblStudents[[#This Row],[Reading Score]],tblStudents[[#This Row],[Writing Score]])</f>
        <v>78.333333333333329</v>
      </c>
      <c r="J799">
        <f>IF(tblStudents[[#This Row],[Average Score]]&gt;=60,1,0)</f>
        <v>1</v>
      </c>
      <c r="K799" t="str">
        <f>IF(tblStudents[[#This Row],[Average Score]]&gt;=60,"Pass","At Risk")</f>
        <v>Pass</v>
      </c>
      <c r="L799" t="str" cm="1">
        <f t="array" ref="L799">_xlfn.IFS(tblStudents[[#This Row],[Average Score]]&gt;=80,"High",tblStudents[[#This Row],[Average Score]]&gt;=60,"Meets Standard",TRUE,"At Risk")</f>
        <v>Meets Standard</v>
      </c>
      <c r="M7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800" spans="1:13" x14ac:dyDescent="0.25">
      <c r="A800" t="s">
        <v>9</v>
      </c>
      <c r="B800" t="s">
        <v>16</v>
      </c>
      <c r="C800" t="s">
        <v>6</v>
      </c>
      <c r="D800" t="s">
        <v>3</v>
      </c>
      <c r="E800" t="s">
        <v>4</v>
      </c>
      <c r="F800">
        <v>69</v>
      </c>
      <c r="G800">
        <v>60</v>
      </c>
      <c r="H800">
        <v>54</v>
      </c>
      <c r="I800" s="1">
        <f>AVERAGE(tblStudents[[#This Row],[Math Score]],tblStudents[[#This Row],[Reading Score]],tblStudents[[#This Row],[Writing Score]])</f>
        <v>61</v>
      </c>
      <c r="J800">
        <f>IF(tblStudents[[#This Row],[Average Score]]&gt;=60,1,0)</f>
        <v>1</v>
      </c>
      <c r="K800" t="str">
        <f>IF(tblStudents[[#This Row],[Average Score]]&gt;=60,"Pass","At Risk")</f>
        <v>Pass</v>
      </c>
      <c r="L800" t="str" cm="1">
        <f t="array" ref="L800">_xlfn.IFS(tblStudents[[#This Row],[Average Score]]&gt;=80,"High",tblStudents[[#This Row],[Average Score]]&gt;=60,"Meets Standard",TRUE,"At Risk")</f>
        <v>Meets Standard</v>
      </c>
      <c r="M8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801" spans="1:13" x14ac:dyDescent="0.25">
      <c r="A801" t="s">
        <v>0</v>
      </c>
      <c r="B801" t="s">
        <v>5</v>
      </c>
      <c r="C801" t="s">
        <v>11</v>
      </c>
      <c r="D801" t="s">
        <v>3</v>
      </c>
      <c r="E801" t="s">
        <v>4</v>
      </c>
      <c r="F801">
        <v>52</v>
      </c>
      <c r="G801">
        <v>55</v>
      </c>
      <c r="H801">
        <v>57</v>
      </c>
      <c r="I801" s="1">
        <f>AVERAGE(tblStudents[[#This Row],[Math Score]],tblStudents[[#This Row],[Reading Score]],tblStudents[[#This Row],[Writing Score]])</f>
        <v>54.666666666666664</v>
      </c>
      <c r="J801">
        <f>IF(tblStudents[[#This Row],[Average Score]]&gt;=60,1,0)</f>
        <v>0</v>
      </c>
      <c r="K801" t="str">
        <f>IF(tblStudents[[#This Row],[Average Score]]&gt;=60,"Pass","At Risk")</f>
        <v>At Risk</v>
      </c>
      <c r="L801" t="str" cm="1">
        <f t="array" ref="L801">_xlfn.IFS(tblStudents[[#This Row],[Average Score]]&gt;=80,"High",tblStudents[[#This Row],[Average Score]]&gt;=60,"Meets Standard",TRUE,"At Risk")</f>
        <v>At Risk</v>
      </c>
      <c r="M8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802" spans="1:13" x14ac:dyDescent="0.25">
      <c r="A802" t="s">
        <v>9</v>
      </c>
      <c r="B802" t="s">
        <v>5</v>
      </c>
      <c r="C802" t="s">
        <v>15</v>
      </c>
      <c r="D802" t="s">
        <v>3</v>
      </c>
      <c r="E802" t="s">
        <v>7</v>
      </c>
      <c r="F802">
        <v>67</v>
      </c>
      <c r="G802">
        <v>73</v>
      </c>
      <c r="H802">
        <v>68</v>
      </c>
      <c r="I802" s="1">
        <f>AVERAGE(tblStudents[[#This Row],[Math Score]],tblStudents[[#This Row],[Reading Score]],tblStudents[[#This Row],[Writing Score]])</f>
        <v>69.333333333333329</v>
      </c>
      <c r="J802">
        <f>IF(tblStudents[[#This Row],[Average Score]]&gt;=60,1,0)</f>
        <v>1</v>
      </c>
      <c r="K802" t="str">
        <f>IF(tblStudents[[#This Row],[Average Score]]&gt;=60,"Pass","At Risk")</f>
        <v>Pass</v>
      </c>
      <c r="L802" t="str" cm="1">
        <f t="array" ref="L802">_xlfn.IFS(tblStudents[[#This Row],[Average Score]]&gt;=80,"High",tblStudents[[#This Row],[Average Score]]&gt;=60,"Meets Standard",TRUE,"At Risk")</f>
        <v>Meets Standard</v>
      </c>
      <c r="M8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03" spans="1:13" x14ac:dyDescent="0.25">
      <c r="A803" t="s">
        <v>9</v>
      </c>
      <c r="B803" t="s">
        <v>5</v>
      </c>
      <c r="C803" t="s">
        <v>15</v>
      </c>
      <c r="D803" t="s">
        <v>3</v>
      </c>
      <c r="E803" t="s">
        <v>7</v>
      </c>
      <c r="F803">
        <v>76</v>
      </c>
      <c r="G803">
        <v>80</v>
      </c>
      <c r="H803">
        <v>73</v>
      </c>
      <c r="I803" s="1">
        <f>AVERAGE(tblStudents[[#This Row],[Math Score]],tblStudents[[#This Row],[Reading Score]],tblStudents[[#This Row],[Writing Score]])</f>
        <v>76.333333333333329</v>
      </c>
      <c r="J803">
        <f>IF(tblStudents[[#This Row],[Average Score]]&gt;=60,1,0)</f>
        <v>1</v>
      </c>
      <c r="K803" t="str">
        <f>IF(tblStudents[[#This Row],[Average Score]]&gt;=60,"Pass","At Risk")</f>
        <v>Pass</v>
      </c>
      <c r="L803" t="str" cm="1">
        <f t="array" ref="L803">_xlfn.IFS(tblStudents[[#This Row],[Average Score]]&gt;=80,"High",tblStudents[[#This Row],[Average Score]]&gt;=60,"Meets Standard",TRUE,"At Risk")</f>
        <v>Meets Standard</v>
      </c>
      <c r="M8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04" spans="1:13" x14ac:dyDescent="0.25">
      <c r="A804" t="s">
        <v>0</v>
      </c>
      <c r="B804" t="s">
        <v>16</v>
      </c>
      <c r="C804" t="s">
        <v>11</v>
      </c>
      <c r="D804" t="s">
        <v>3</v>
      </c>
      <c r="E804" t="s">
        <v>4</v>
      </c>
      <c r="F804">
        <v>87</v>
      </c>
      <c r="G804">
        <v>94</v>
      </c>
      <c r="H804">
        <v>95</v>
      </c>
      <c r="I804" s="1">
        <f>AVERAGE(tblStudents[[#This Row],[Math Score]],tblStudents[[#This Row],[Reading Score]],tblStudents[[#This Row],[Writing Score]])</f>
        <v>92</v>
      </c>
      <c r="J804">
        <f>IF(tblStudents[[#This Row],[Average Score]]&gt;=60,1,0)</f>
        <v>1</v>
      </c>
      <c r="K804" t="str">
        <f>IF(tblStudents[[#This Row],[Average Score]]&gt;=60,"Pass","At Risk")</f>
        <v>Pass</v>
      </c>
      <c r="L804" t="str" cm="1">
        <f t="array" ref="L804">_xlfn.IFS(tblStudents[[#This Row],[Average Score]]&gt;=80,"High",tblStudents[[#This Row],[Average Score]]&gt;=60,"Meets Standard",TRUE,"At Risk")</f>
        <v>High</v>
      </c>
      <c r="M8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805" spans="1:13" x14ac:dyDescent="0.25">
      <c r="A805" t="s">
        <v>0</v>
      </c>
      <c r="B805" t="s">
        <v>1</v>
      </c>
      <c r="C805" t="s">
        <v>6</v>
      </c>
      <c r="D805" t="s">
        <v>3</v>
      </c>
      <c r="E805" t="s">
        <v>4</v>
      </c>
      <c r="F805">
        <v>82</v>
      </c>
      <c r="G805">
        <v>85</v>
      </c>
      <c r="H805">
        <v>87</v>
      </c>
      <c r="I805" s="1">
        <f>AVERAGE(tblStudents[[#This Row],[Math Score]],tblStudents[[#This Row],[Reading Score]],tblStudents[[#This Row],[Writing Score]])</f>
        <v>84.666666666666671</v>
      </c>
      <c r="J805">
        <f>IF(tblStudents[[#This Row],[Average Score]]&gt;=60,1,0)</f>
        <v>1</v>
      </c>
      <c r="K805" t="str">
        <f>IF(tblStudents[[#This Row],[Average Score]]&gt;=60,"Pass","At Risk")</f>
        <v>Pass</v>
      </c>
      <c r="L805" t="str" cm="1">
        <f t="array" ref="L805">_xlfn.IFS(tblStudents[[#This Row],[Average Score]]&gt;=80,"High",tblStudents[[#This Row],[Average Score]]&gt;=60,"Meets Standard",TRUE,"At Risk")</f>
        <v>High</v>
      </c>
      <c r="M8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806" spans="1:13" x14ac:dyDescent="0.25">
      <c r="A806" t="s">
        <v>0</v>
      </c>
      <c r="B806" t="s">
        <v>5</v>
      </c>
      <c r="C806" t="s">
        <v>6</v>
      </c>
      <c r="D806" t="s">
        <v>3</v>
      </c>
      <c r="E806" t="s">
        <v>4</v>
      </c>
      <c r="F806">
        <v>73</v>
      </c>
      <c r="G806">
        <v>76</v>
      </c>
      <c r="H806">
        <v>78</v>
      </c>
      <c r="I806" s="1">
        <f>AVERAGE(tblStudents[[#This Row],[Math Score]],tblStudents[[#This Row],[Reading Score]],tblStudents[[#This Row],[Writing Score]])</f>
        <v>75.666666666666671</v>
      </c>
      <c r="J806">
        <f>IF(tblStudents[[#This Row],[Average Score]]&gt;=60,1,0)</f>
        <v>1</v>
      </c>
      <c r="K806" t="str">
        <f>IF(tblStudents[[#This Row],[Average Score]]&gt;=60,"Pass","At Risk")</f>
        <v>Pass</v>
      </c>
      <c r="L806" t="str" cm="1">
        <f t="array" ref="L806">_xlfn.IFS(tblStudents[[#This Row],[Average Score]]&gt;=80,"High",tblStudents[[#This Row],[Average Score]]&gt;=60,"Meets Standard",TRUE,"At Risk")</f>
        <v>Meets Standard</v>
      </c>
      <c r="M8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807" spans="1:13" x14ac:dyDescent="0.25">
      <c r="A807" t="s">
        <v>9</v>
      </c>
      <c r="B807" t="s">
        <v>10</v>
      </c>
      <c r="C807" t="s">
        <v>6</v>
      </c>
      <c r="D807" t="s">
        <v>12</v>
      </c>
      <c r="E807" t="s">
        <v>4</v>
      </c>
      <c r="F807">
        <v>75</v>
      </c>
      <c r="G807">
        <v>81</v>
      </c>
      <c r="H807">
        <v>74</v>
      </c>
      <c r="I807" s="1">
        <f>AVERAGE(tblStudents[[#This Row],[Math Score]],tblStudents[[#This Row],[Reading Score]],tblStudents[[#This Row],[Writing Score]])</f>
        <v>76.666666666666671</v>
      </c>
      <c r="J807">
        <f>IF(tblStudents[[#This Row],[Average Score]]&gt;=60,1,0)</f>
        <v>1</v>
      </c>
      <c r="K807" t="str">
        <f>IF(tblStudents[[#This Row],[Average Score]]&gt;=60,"Pass","At Risk")</f>
        <v>Pass</v>
      </c>
      <c r="L807" t="str" cm="1">
        <f t="array" ref="L807">_xlfn.IFS(tblStudents[[#This Row],[Average Score]]&gt;=80,"High",tblStudents[[#This Row],[Average Score]]&gt;=60,"Meets Standard",TRUE,"At Risk")</f>
        <v>Meets Standard</v>
      </c>
      <c r="M8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08" spans="1:13" x14ac:dyDescent="0.25">
      <c r="A808" t="s">
        <v>0</v>
      </c>
      <c r="B808" t="s">
        <v>13</v>
      </c>
      <c r="C808" t="s">
        <v>6</v>
      </c>
      <c r="D808" t="s">
        <v>12</v>
      </c>
      <c r="E808" t="s">
        <v>4</v>
      </c>
      <c r="F808">
        <v>64</v>
      </c>
      <c r="G808">
        <v>74</v>
      </c>
      <c r="H808">
        <v>75</v>
      </c>
      <c r="I808" s="1">
        <f>AVERAGE(tblStudents[[#This Row],[Math Score]],tblStudents[[#This Row],[Reading Score]],tblStudents[[#This Row],[Writing Score]])</f>
        <v>71</v>
      </c>
      <c r="J808">
        <f>IF(tblStudents[[#This Row],[Average Score]]&gt;=60,1,0)</f>
        <v>1</v>
      </c>
      <c r="K808" t="str">
        <f>IF(tblStudents[[#This Row],[Average Score]]&gt;=60,"Pass","At Risk")</f>
        <v>Pass</v>
      </c>
      <c r="L808" t="str" cm="1">
        <f t="array" ref="L808">_xlfn.IFS(tblStudents[[#This Row],[Average Score]]&gt;=80,"High",tblStudents[[#This Row],[Average Score]]&gt;=60,"Meets Standard",TRUE,"At Risk")</f>
        <v>Meets Standard</v>
      </c>
      <c r="M8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09" spans="1:13" x14ac:dyDescent="0.25">
      <c r="A809" t="s">
        <v>0</v>
      </c>
      <c r="B809" t="s">
        <v>16</v>
      </c>
      <c r="C809" t="s">
        <v>14</v>
      </c>
      <c r="D809" t="s">
        <v>12</v>
      </c>
      <c r="E809" t="s">
        <v>4</v>
      </c>
      <c r="F809">
        <v>41</v>
      </c>
      <c r="G809">
        <v>45</v>
      </c>
      <c r="H809">
        <v>40</v>
      </c>
      <c r="I809" s="1">
        <f>AVERAGE(tblStudents[[#This Row],[Math Score]],tblStudents[[#This Row],[Reading Score]],tblStudents[[#This Row],[Writing Score]])</f>
        <v>42</v>
      </c>
      <c r="J809">
        <f>IF(tblStudents[[#This Row],[Average Score]]&gt;=60,1,0)</f>
        <v>0</v>
      </c>
      <c r="K809" t="str">
        <f>IF(tblStudents[[#This Row],[Average Score]]&gt;=60,"Pass","At Risk")</f>
        <v>At Risk</v>
      </c>
      <c r="L809" t="str" cm="1">
        <f t="array" ref="L809">_xlfn.IFS(tblStudents[[#This Row],[Average Score]]&gt;=80,"High",tblStudents[[#This Row],[Average Score]]&gt;=60,"Meets Standard",TRUE,"At Risk")</f>
        <v>At Risk</v>
      </c>
      <c r="M8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810" spans="1:13" x14ac:dyDescent="0.25">
      <c r="A810" t="s">
        <v>9</v>
      </c>
      <c r="B810" t="s">
        <v>5</v>
      </c>
      <c r="C810" t="s">
        <v>14</v>
      </c>
      <c r="D810" t="s">
        <v>3</v>
      </c>
      <c r="E810" t="s">
        <v>4</v>
      </c>
      <c r="F810">
        <v>90</v>
      </c>
      <c r="G810">
        <v>75</v>
      </c>
      <c r="H810">
        <v>69</v>
      </c>
      <c r="I810" s="1">
        <f>AVERAGE(tblStudents[[#This Row],[Math Score]],tblStudents[[#This Row],[Reading Score]],tblStudents[[#This Row],[Writing Score]])</f>
        <v>78</v>
      </c>
      <c r="J810">
        <f>IF(tblStudents[[#This Row],[Average Score]]&gt;=60,1,0)</f>
        <v>1</v>
      </c>
      <c r="K810" t="str">
        <f>IF(tblStudents[[#This Row],[Average Score]]&gt;=60,"Pass","At Risk")</f>
        <v>Pass</v>
      </c>
      <c r="L810" t="str" cm="1">
        <f t="array" ref="L810">_xlfn.IFS(tblStudents[[#This Row],[Average Score]]&gt;=80,"High",tblStudents[[#This Row],[Average Score]]&gt;=60,"Meets Standard",TRUE,"At Risk")</f>
        <v>Meets Standard</v>
      </c>
      <c r="M8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811" spans="1:13" x14ac:dyDescent="0.25">
      <c r="A811" t="s">
        <v>9</v>
      </c>
      <c r="B811" t="s">
        <v>1</v>
      </c>
      <c r="C811" t="s">
        <v>2</v>
      </c>
      <c r="D811" t="s">
        <v>3</v>
      </c>
      <c r="E811" t="s">
        <v>4</v>
      </c>
      <c r="F811">
        <v>59</v>
      </c>
      <c r="G811">
        <v>54</v>
      </c>
      <c r="H811">
        <v>51</v>
      </c>
      <c r="I811" s="1">
        <f>AVERAGE(tblStudents[[#This Row],[Math Score]],tblStudents[[#This Row],[Reading Score]],tblStudents[[#This Row],[Writing Score]])</f>
        <v>54.666666666666664</v>
      </c>
      <c r="J811">
        <f>IF(tblStudents[[#This Row],[Average Score]]&gt;=60,1,0)</f>
        <v>0</v>
      </c>
      <c r="K811" t="str">
        <f>IF(tblStudents[[#This Row],[Average Score]]&gt;=60,"Pass","At Risk")</f>
        <v>At Risk</v>
      </c>
      <c r="L811" t="str" cm="1">
        <f t="array" ref="L811">_xlfn.IFS(tblStudents[[#This Row],[Average Score]]&gt;=80,"High",tblStudents[[#This Row],[Average Score]]&gt;=60,"Meets Standard",TRUE,"At Risk")</f>
        <v>At Risk</v>
      </c>
      <c r="M8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812" spans="1:13" x14ac:dyDescent="0.25">
      <c r="A812" t="s">
        <v>9</v>
      </c>
      <c r="B812" t="s">
        <v>10</v>
      </c>
      <c r="C812" t="s">
        <v>15</v>
      </c>
      <c r="D812" t="s">
        <v>3</v>
      </c>
      <c r="E812" t="s">
        <v>4</v>
      </c>
      <c r="F812">
        <v>51</v>
      </c>
      <c r="G812">
        <v>31</v>
      </c>
      <c r="H812">
        <v>36</v>
      </c>
      <c r="I812" s="1">
        <f>AVERAGE(tblStudents[[#This Row],[Math Score]],tblStudents[[#This Row],[Reading Score]],tblStudents[[#This Row],[Writing Score]])</f>
        <v>39.333333333333336</v>
      </c>
      <c r="J812">
        <f>IF(tblStudents[[#This Row],[Average Score]]&gt;=60,1,0)</f>
        <v>0</v>
      </c>
      <c r="K812" t="str">
        <f>IF(tblStudents[[#This Row],[Average Score]]&gt;=60,"Pass","At Risk")</f>
        <v>At Risk</v>
      </c>
      <c r="L812" t="str" cm="1">
        <f t="array" ref="L812">_xlfn.IFS(tblStudents[[#This Row],[Average Score]]&gt;=80,"High",tblStudents[[#This Row],[Average Score]]&gt;=60,"Meets Standard",TRUE,"At Risk")</f>
        <v>At Risk</v>
      </c>
      <c r="M8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813" spans="1:13" x14ac:dyDescent="0.25">
      <c r="A813" t="s">
        <v>9</v>
      </c>
      <c r="B813" t="s">
        <v>10</v>
      </c>
      <c r="C813" t="s">
        <v>14</v>
      </c>
      <c r="D813" t="s">
        <v>12</v>
      </c>
      <c r="E813" t="s">
        <v>4</v>
      </c>
      <c r="F813">
        <v>45</v>
      </c>
      <c r="G813">
        <v>47</v>
      </c>
      <c r="H813">
        <v>49</v>
      </c>
      <c r="I813" s="1">
        <f>AVERAGE(tblStudents[[#This Row],[Math Score]],tblStudents[[#This Row],[Reading Score]],tblStudents[[#This Row],[Writing Score]])</f>
        <v>47</v>
      </c>
      <c r="J813">
        <f>IF(tblStudents[[#This Row],[Average Score]]&gt;=60,1,0)</f>
        <v>0</v>
      </c>
      <c r="K813" t="str">
        <f>IF(tblStudents[[#This Row],[Average Score]]&gt;=60,"Pass","At Risk")</f>
        <v>At Risk</v>
      </c>
      <c r="L813" t="str" cm="1">
        <f t="array" ref="L813">_xlfn.IFS(tblStudents[[#This Row],[Average Score]]&gt;=80,"High",tblStudents[[#This Row],[Average Score]]&gt;=60,"Meets Standard",TRUE,"At Risk")</f>
        <v>At Risk</v>
      </c>
      <c r="M8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814" spans="1:13" x14ac:dyDescent="0.25">
      <c r="A814" t="s">
        <v>0</v>
      </c>
      <c r="B814" t="s">
        <v>5</v>
      </c>
      <c r="C814" t="s">
        <v>8</v>
      </c>
      <c r="D814" t="s">
        <v>3</v>
      </c>
      <c r="E814" t="s">
        <v>7</v>
      </c>
      <c r="F814">
        <v>54</v>
      </c>
      <c r="G814">
        <v>64</v>
      </c>
      <c r="H814">
        <v>67</v>
      </c>
      <c r="I814" s="1">
        <f>AVERAGE(tblStudents[[#This Row],[Math Score]],tblStudents[[#This Row],[Reading Score]],tblStudents[[#This Row],[Writing Score]])</f>
        <v>61.666666666666664</v>
      </c>
      <c r="J814">
        <f>IF(tblStudents[[#This Row],[Average Score]]&gt;=60,1,0)</f>
        <v>1</v>
      </c>
      <c r="K814" t="str">
        <f>IF(tblStudents[[#This Row],[Average Score]]&gt;=60,"Pass","At Risk")</f>
        <v>Pass</v>
      </c>
      <c r="L814" t="str" cm="1">
        <f t="array" ref="L814">_xlfn.IFS(tblStudents[[#This Row],[Average Score]]&gt;=80,"High",tblStudents[[#This Row],[Average Score]]&gt;=60,"Meets Standard",TRUE,"At Risk")</f>
        <v>Meets Standard</v>
      </c>
      <c r="M8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815" spans="1:13" x14ac:dyDescent="0.25">
      <c r="A815" t="s">
        <v>9</v>
      </c>
      <c r="B815" t="s">
        <v>16</v>
      </c>
      <c r="C815" t="s">
        <v>15</v>
      </c>
      <c r="D815" t="s">
        <v>3</v>
      </c>
      <c r="E815" t="s">
        <v>7</v>
      </c>
      <c r="F815">
        <v>87</v>
      </c>
      <c r="G815">
        <v>84</v>
      </c>
      <c r="H815">
        <v>76</v>
      </c>
      <c r="I815" s="1">
        <f>AVERAGE(tblStudents[[#This Row],[Math Score]],tblStudents[[#This Row],[Reading Score]],tblStudents[[#This Row],[Writing Score]])</f>
        <v>82.333333333333329</v>
      </c>
      <c r="J815">
        <f>IF(tblStudents[[#This Row],[Average Score]]&gt;=60,1,0)</f>
        <v>1</v>
      </c>
      <c r="K815" t="str">
        <f>IF(tblStudents[[#This Row],[Average Score]]&gt;=60,"Pass","At Risk")</f>
        <v>Pass</v>
      </c>
      <c r="L815" t="str" cm="1">
        <f t="array" ref="L815">_xlfn.IFS(tblStudents[[#This Row],[Average Score]]&gt;=80,"High",tblStudents[[#This Row],[Average Score]]&gt;=60,"Meets Standard",TRUE,"At Risk")</f>
        <v>High</v>
      </c>
      <c r="M8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16" spans="1:13" x14ac:dyDescent="0.25">
      <c r="A816" t="s">
        <v>0</v>
      </c>
      <c r="B816" t="s">
        <v>5</v>
      </c>
      <c r="C816" t="s">
        <v>14</v>
      </c>
      <c r="D816" t="s">
        <v>3</v>
      </c>
      <c r="E816" t="s">
        <v>4</v>
      </c>
      <c r="F816">
        <v>72</v>
      </c>
      <c r="G816">
        <v>80</v>
      </c>
      <c r="H816">
        <v>83</v>
      </c>
      <c r="I816" s="1">
        <f>AVERAGE(tblStudents[[#This Row],[Math Score]],tblStudents[[#This Row],[Reading Score]],tblStudents[[#This Row],[Writing Score]])</f>
        <v>78.333333333333329</v>
      </c>
      <c r="J816">
        <f>IF(tblStudents[[#This Row],[Average Score]]&gt;=60,1,0)</f>
        <v>1</v>
      </c>
      <c r="K816" t="str">
        <f>IF(tblStudents[[#This Row],[Average Score]]&gt;=60,"Pass","At Risk")</f>
        <v>Pass</v>
      </c>
      <c r="L816" t="str" cm="1">
        <f t="array" ref="L816">_xlfn.IFS(tblStudents[[#This Row],[Average Score]]&gt;=80,"High",tblStudents[[#This Row],[Average Score]]&gt;=60,"Meets Standard",TRUE,"At Risk")</f>
        <v>Meets Standard</v>
      </c>
      <c r="M8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17" spans="1:13" x14ac:dyDescent="0.25">
      <c r="A817" t="s">
        <v>9</v>
      </c>
      <c r="B817" t="s">
        <v>1</v>
      </c>
      <c r="C817" t="s">
        <v>15</v>
      </c>
      <c r="D817" t="s">
        <v>3</v>
      </c>
      <c r="E817" t="s">
        <v>7</v>
      </c>
      <c r="F817">
        <v>94</v>
      </c>
      <c r="G817">
        <v>86</v>
      </c>
      <c r="H817">
        <v>87</v>
      </c>
      <c r="I817" s="1">
        <f>AVERAGE(tblStudents[[#This Row],[Math Score]],tblStudents[[#This Row],[Reading Score]],tblStudents[[#This Row],[Writing Score]])</f>
        <v>89</v>
      </c>
      <c r="J817">
        <f>IF(tblStudents[[#This Row],[Average Score]]&gt;=60,1,0)</f>
        <v>1</v>
      </c>
      <c r="K817" t="str">
        <f>IF(tblStudents[[#This Row],[Average Score]]&gt;=60,"Pass","At Risk")</f>
        <v>Pass</v>
      </c>
      <c r="L817" t="str" cm="1">
        <f t="array" ref="L817">_xlfn.IFS(tblStudents[[#This Row],[Average Score]]&gt;=80,"High",tblStudents[[#This Row],[Average Score]]&gt;=60,"Meets Standard",TRUE,"At Risk")</f>
        <v>High</v>
      </c>
      <c r="M8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818" spans="1:13" x14ac:dyDescent="0.25">
      <c r="A818" t="s">
        <v>0</v>
      </c>
      <c r="B818" t="s">
        <v>10</v>
      </c>
      <c r="C818" t="s">
        <v>2</v>
      </c>
      <c r="D818" t="s">
        <v>3</v>
      </c>
      <c r="E818" t="s">
        <v>4</v>
      </c>
      <c r="F818">
        <v>45</v>
      </c>
      <c r="G818">
        <v>59</v>
      </c>
      <c r="H818">
        <v>64</v>
      </c>
      <c r="I818" s="1">
        <f>AVERAGE(tblStudents[[#This Row],[Math Score]],tblStudents[[#This Row],[Reading Score]],tblStudents[[#This Row],[Writing Score]])</f>
        <v>56</v>
      </c>
      <c r="J818">
        <f>IF(tblStudents[[#This Row],[Average Score]]&gt;=60,1,0)</f>
        <v>0</v>
      </c>
      <c r="K818" t="str">
        <f>IF(tblStudents[[#This Row],[Average Score]]&gt;=60,"Pass","At Risk")</f>
        <v>At Risk</v>
      </c>
      <c r="L818" t="str" cm="1">
        <f t="array" ref="L818">_xlfn.IFS(tblStudents[[#This Row],[Average Score]]&gt;=80,"High",tblStudents[[#This Row],[Average Score]]&gt;=60,"Meets Standard",TRUE,"At Risk")</f>
        <v>At Risk</v>
      </c>
      <c r="M8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819" spans="1:13" x14ac:dyDescent="0.25">
      <c r="A819" t="s">
        <v>9</v>
      </c>
      <c r="B819" t="s">
        <v>13</v>
      </c>
      <c r="C819" t="s">
        <v>2</v>
      </c>
      <c r="D819" t="s">
        <v>12</v>
      </c>
      <c r="E819" t="s">
        <v>7</v>
      </c>
      <c r="F819">
        <v>61</v>
      </c>
      <c r="G819">
        <v>70</v>
      </c>
      <c r="H819">
        <v>76</v>
      </c>
      <c r="I819" s="1">
        <f>AVERAGE(tblStudents[[#This Row],[Math Score]],tblStudents[[#This Row],[Reading Score]],tblStudents[[#This Row],[Writing Score]])</f>
        <v>69</v>
      </c>
      <c r="J819">
        <f>IF(tblStudents[[#This Row],[Average Score]]&gt;=60,1,0)</f>
        <v>1</v>
      </c>
      <c r="K819" t="str">
        <f>IF(tblStudents[[#This Row],[Average Score]]&gt;=60,"Pass","At Risk")</f>
        <v>Pass</v>
      </c>
      <c r="L819" t="str" cm="1">
        <f t="array" ref="L819">_xlfn.IFS(tblStudents[[#This Row],[Average Score]]&gt;=80,"High",tblStudents[[#This Row],[Average Score]]&gt;=60,"Meets Standard",TRUE,"At Risk")</f>
        <v>Meets Standard</v>
      </c>
      <c r="M8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820" spans="1:13" x14ac:dyDescent="0.25">
      <c r="A820" t="s">
        <v>0</v>
      </c>
      <c r="B820" t="s">
        <v>1</v>
      </c>
      <c r="C820" t="s">
        <v>14</v>
      </c>
      <c r="D820" t="s">
        <v>12</v>
      </c>
      <c r="E820" t="s">
        <v>4</v>
      </c>
      <c r="F820">
        <v>60</v>
      </c>
      <c r="G820">
        <v>72</v>
      </c>
      <c r="H820">
        <v>68</v>
      </c>
      <c r="I820" s="1">
        <f>AVERAGE(tblStudents[[#This Row],[Math Score]],tblStudents[[#This Row],[Reading Score]],tblStudents[[#This Row],[Writing Score]])</f>
        <v>66.666666666666671</v>
      </c>
      <c r="J820">
        <f>IF(tblStudents[[#This Row],[Average Score]]&gt;=60,1,0)</f>
        <v>1</v>
      </c>
      <c r="K820" t="str">
        <f>IF(tblStudents[[#This Row],[Average Score]]&gt;=60,"Pass","At Risk")</f>
        <v>Pass</v>
      </c>
      <c r="L820" t="str" cm="1">
        <f t="array" ref="L820">_xlfn.IFS(tblStudents[[#This Row],[Average Score]]&gt;=80,"High",tblStudents[[#This Row],[Average Score]]&gt;=60,"Meets Standard",TRUE,"At Risk")</f>
        <v>Meets Standard</v>
      </c>
      <c r="M8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821" spans="1:13" x14ac:dyDescent="0.25">
      <c r="A821" t="s">
        <v>0</v>
      </c>
      <c r="B821" t="s">
        <v>5</v>
      </c>
      <c r="C821" t="s">
        <v>15</v>
      </c>
      <c r="D821" t="s">
        <v>3</v>
      </c>
      <c r="E821" t="s">
        <v>4</v>
      </c>
      <c r="F821">
        <v>77</v>
      </c>
      <c r="G821">
        <v>91</v>
      </c>
      <c r="H821">
        <v>88</v>
      </c>
      <c r="I821" s="1">
        <f>AVERAGE(tblStudents[[#This Row],[Math Score]],tblStudents[[#This Row],[Reading Score]],tblStudents[[#This Row],[Writing Score]])</f>
        <v>85.333333333333329</v>
      </c>
      <c r="J821">
        <f>IF(tblStudents[[#This Row],[Average Score]]&gt;=60,1,0)</f>
        <v>1</v>
      </c>
      <c r="K821" t="str">
        <f>IF(tblStudents[[#This Row],[Average Score]]&gt;=60,"Pass","At Risk")</f>
        <v>Pass</v>
      </c>
      <c r="L821" t="str" cm="1">
        <f t="array" ref="L821">_xlfn.IFS(tblStudents[[#This Row],[Average Score]]&gt;=80,"High",tblStudents[[#This Row],[Average Score]]&gt;=60,"Meets Standard",TRUE,"At Risk")</f>
        <v>High</v>
      </c>
      <c r="M8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822" spans="1:13" x14ac:dyDescent="0.25">
      <c r="A822" t="s">
        <v>0</v>
      </c>
      <c r="B822" t="s">
        <v>10</v>
      </c>
      <c r="C822" t="s">
        <v>15</v>
      </c>
      <c r="D822" t="s">
        <v>3</v>
      </c>
      <c r="E822" t="s">
        <v>7</v>
      </c>
      <c r="F822">
        <v>85</v>
      </c>
      <c r="G822">
        <v>90</v>
      </c>
      <c r="H822">
        <v>92</v>
      </c>
      <c r="I822" s="1">
        <f>AVERAGE(tblStudents[[#This Row],[Math Score]],tblStudents[[#This Row],[Reading Score]],tblStudents[[#This Row],[Writing Score]])</f>
        <v>89</v>
      </c>
      <c r="J822">
        <f>IF(tblStudents[[#This Row],[Average Score]]&gt;=60,1,0)</f>
        <v>1</v>
      </c>
      <c r="K822" t="str">
        <f>IF(tblStudents[[#This Row],[Average Score]]&gt;=60,"Pass","At Risk")</f>
        <v>Pass</v>
      </c>
      <c r="L822" t="str" cm="1">
        <f t="array" ref="L822">_xlfn.IFS(tblStudents[[#This Row],[Average Score]]&gt;=80,"High",tblStudents[[#This Row],[Average Score]]&gt;=60,"Meets Standard",TRUE,"At Risk")</f>
        <v>High</v>
      </c>
      <c r="M8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23" spans="1:13" x14ac:dyDescent="0.25">
      <c r="A823" t="s">
        <v>0</v>
      </c>
      <c r="B823" t="s">
        <v>13</v>
      </c>
      <c r="C823" t="s">
        <v>2</v>
      </c>
      <c r="D823" t="s">
        <v>12</v>
      </c>
      <c r="E823" t="s">
        <v>4</v>
      </c>
      <c r="F823">
        <v>78</v>
      </c>
      <c r="G823">
        <v>90</v>
      </c>
      <c r="H823">
        <v>93</v>
      </c>
      <c r="I823" s="1">
        <f>AVERAGE(tblStudents[[#This Row],[Math Score]],tblStudents[[#This Row],[Reading Score]],tblStudents[[#This Row],[Writing Score]])</f>
        <v>87</v>
      </c>
      <c r="J823">
        <f>IF(tblStudents[[#This Row],[Average Score]]&gt;=60,1,0)</f>
        <v>1</v>
      </c>
      <c r="K823" t="str">
        <f>IF(tblStudents[[#This Row],[Average Score]]&gt;=60,"Pass","At Risk")</f>
        <v>Pass</v>
      </c>
      <c r="L823" t="str" cm="1">
        <f t="array" ref="L823">_xlfn.IFS(tblStudents[[#This Row],[Average Score]]&gt;=80,"High",tblStudents[[#This Row],[Average Score]]&gt;=60,"Meets Standard",TRUE,"At Risk")</f>
        <v>High</v>
      </c>
      <c r="M8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824" spans="1:13" x14ac:dyDescent="0.25">
      <c r="A824" t="s">
        <v>9</v>
      </c>
      <c r="B824" t="s">
        <v>16</v>
      </c>
      <c r="C824" t="s">
        <v>6</v>
      </c>
      <c r="D824" t="s">
        <v>12</v>
      </c>
      <c r="E824" t="s">
        <v>7</v>
      </c>
      <c r="F824">
        <v>49</v>
      </c>
      <c r="G824">
        <v>52</v>
      </c>
      <c r="H824">
        <v>51</v>
      </c>
      <c r="I824" s="1">
        <f>AVERAGE(tblStudents[[#This Row],[Math Score]],tblStudents[[#This Row],[Reading Score]],tblStudents[[#This Row],[Writing Score]])</f>
        <v>50.666666666666664</v>
      </c>
      <c r="J824">
        <f>IF(tblStudents[[#This Row],[Average Score]]&gt;=60,1,0)</f>
        <v>0</v>
      </c>
      <c r="K824" t="str">
        <f>IF(tblStudents[[#This Row],[Average Score]]&gt;=60,"Pass","At Risk")</f>
        <v>At Risk</v>
      </c>
      <c r="L824" t="str" cm="1">
        <f t="array" ref="L824">_xlfn.IFS(tblStudents[[#This Row],[Average Score]]&gt;=80,"High",tblStudents[[#This Row],[Average Score]]&gt;=60,"Meets Standard",TRUE,"At Risk")</f>
        <v>At Risk</v>
      </c>
      <c r="M8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25" spans="1:13" x14ac:dyDescent="0.25">
      <c r="A825" t="s">
        <v>0</v>
      </c>
      <c r="B825" t="s">
        <v>1</v>
      </c>
      <c r="C825" t="s">
        <v>14</v>
      </c>
      <c r="D825" t="s">
        <v>12</v>
      </c>
      <c r="E825" t="s">
        <v>4</v>
      </c>
      <c r="F825">
        <v>71</v>
      </c>
      <c r="G825">
        <v>87</v>
      </c>
      <c r="H825">
        <v>82</v>
      </c>
      <c r="I825" s="1">
        <f>AVERAGE(tblStudents[[#This Row],[Math Score]],tblStudents[[#This Row],[Reading Score]],tblStudents[[#This Row],[Writing Score]])</f>
        <v>80</v>
      </c>
      <c r="J825">
        <f>IF(tblStudents[[#This Row],[Average Score]]&gt;=60,1,0)</f>
        <v>1</v>
      </c>
      <c r="K825" t="str">
        <f>IF(tblStudents[[#This Row],[Average Score]]&gt;=60,"Pass","At Risk")</f>
        <v>Pass</v>
      </c>
      <c r="L825" t="str" cm="1">
        <f t="array" ref="L825">_xlfn.IFS(tblStudents[[#This Row],[Average Score]]&gt;=80,"High",tblStudents[[#This Row],[Average Score]]&gt;=60,"Meets Standard",TRUE,"At Risk")</f>
        <v>High</v>
      </c>
      <c r="M8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826" spans="1:13" x14ac:dyDescent="0.25">
      <c r="A826" t="s">
        <v>0</v>
      </c>
      <c r="B826" t="s">
        <v>5</v>
      </c>
      <c r="C826" t="s">
        <v>15</v>
      </c>
      <c r="D826" t="s">
        <v>12</v>
      </c>
      <c r="E826" t="s">
        <v>4</v>
      </c>
      <c r="F826">
        <v>48</v>
      </c>
      <c r="G826">
        <v>58</v>
      </c>
      <c r="H826">
        <v>52</v>
      </c>
      <c r="I826" s="1">
        <f>AVERAGE(tblStudents[[#This Row],[Math Score]],tblStudents[[#This Row],[Reading Score]],tblStudents[[#This Row],[Writing Score]])</f>
        <v>52.666666666666664</v>
      </c>
      <c r="J826">
        <f>IF(tblStudents[[#This Row],[Average Score]]&gt;=60,1,0)</f>
        <v>0</v>
      </c>
      <c r="K826" t="str">
        <f>IF(tblStudents[[#This Row],[Average Score]]&gt;=60,"Pass","At Risk")</f>
        <v>At Risk</v>
      </c>
      <c r="L826" t="str" cm="1">
        <f t="array" ref="L826">_xlfn.IFS(tblStudents[[#This Row],[Average Score]]&gt;=80,"High",tblStudents[[#This Row],[Average Score]]&gt;=60,"Meets Standard",TRUE,"At Risk")</f>
        <v>At Risk</v>
      </c>
      <c r="M8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827" spans="1:13" x14ac:dyDescent="0.25">
      <c r="A827" t="s">
        <v>9</v>
      </c>
      <c r="B827" t="s">
        <v>5</v>
      </c>
      <c r="C827" t="s">
        <v>14</v>
      </c>
      <c r="D827" t="s">
        <v>3</v>
      </c>
      <c r="E827" t="s">
        <v>4</v>
      </c>
      <c r="F827">
        <v>62</v>
      </c>
      <c r="G827">
        <v>67</v>
      </c>
      <c r="H827">
        <v>58</v>
      </c>
      <c r="I827" s="1">
        <f>AVERAGE(tblStudents[[#This Row],[Math Score]],tblStudents[[#This Row],[Reading Score]],tblStudents[[#This Row],[Writing Score]])</f>
        <v>62.333333333333336</v>
      </c>
      <c r="J827">
        <f>IF(tblStudents[[#This Row],[Average Score]]&gt;=60,1,0)</f>
        <v>1</v>
      </c>
      <c r="K827" t="str">
        <f>IF(tblStudents[[#This Row],[Average Score]]&gt;=60,"Pass","At Risk")</f>
        <v>Pass</v>
      </c>
      <c r="L827" t="str" cm="1">
        <f t="array" ref="L827">_xlfn.IFS(tblStudents[[#This Row],[Average Score]]&gt;=80,"High",tblStudents[[#This Row],[Average Score]]&gt;=60,"Meets Standard",TRUE,"At Risk")</f>
        <v>Meets Standard</v>
      </c>
      <c r="M8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28" spans="1:13" x14ac:dyDescent="0.25">
      <c r="A828" t="s">
        <v>0</v>
      </c>
      <c r="B828" t="s">
        <v>5</v>
      </c>
      <c r="C828" t="s">
        <v>11</v>
      </c>
      <c r="D828" t="s">
        <v>12</v>
      </c>
      <c r="E828" t="s">
        <v>7</v>
      </c>
      <c r="F828">
        <v>56</v>
      </c>
      <c r="G828">
        <v>68</v>
      </c>
      <c r="H828">
        <v>70</v>
      </c>
      <c r="I828" s="1">
        <f>AVERAGE(tblStudents[[#This Row],[Math Score]],tblStudents[[#This Row],[Reading Score]],tblStudents[[#This Row],[Writing Score]])</f>
        <v>64.666666666666671</v>
      </c>
      <c r="J828">
        <f>IF(tblStudents[[#This Row],[Average Score]]&gt;=60,1,0)</f>
        <v>1</v>
      </c>
      <c r="K828" t="str">
        <f>IF(tblStudents[[#This Row],[Average Score]]&gt;=60,"Pass","At Risk")</f>
        <v>Pass</v>
      </c>
      <c r="L828" t="str" cm="1">
        <f t="array" ref="L828">_xlfn.IFS(tblStudents[[#This Row],[Average Score]]&gt;=80,"High",tblStudents[[#This Row],[Average Score]]&gt;=60,"Meets Standard",TRUE,"At Risk")</f>
        <v>Meets Standard</v>
      </c>
      <c r="M8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829" spans="1:13" x14ac:dyDescent="0.25">
      <c r="A829" t="s">
        <v>0</v>
      </c>
      <c r="B829" t="s">
        <v>5</v>
      </c>
      <c r="C829" t="s">
        <v>15</v>
      </c>
      <c r="D829" t="s">
        <v>3</v>
      </c>
      <c r="E829" t="s">
        <v>4</v>
      </c>
      <c r="F829">
        <v>65</v>
      </c>
      <c r="G829">
        <v>69</v>
      </c>
      <c r="H829">
        <v>76</v>
      </c>
      <c r="I829" s="1">
        <f>AVERAGE(tblStudents[[#This Row],[Math Score]],tblStudents[[#This Row],[Reading Score]],tblStudents[[#This Row],[Writing Score]])</f>
        <v>70</v>
      </c>
      <c r="J829">
        <f>IF(tblStudents[[#This Row],[Average Score]]&gt;=60,1,0)</f>
        <v>1</v>
      </c>
      <c r="K829" t="str">
        <f>IF(tblStudents[[#This Row],[Average Score]]&gt;=60,"Pass","At Risk")</f>
        <v>Pass</v>
      </c>
      <c r="L829" t="str" cm="1">
        <f t="array" ref="L829">_xlfn.IFS(tblStudents[[#This Row],[Average Score]]&gt;=80,"High",tblStudents[[#This Row],[Average Score]]&gt;=60,"Meets Standard",TRUE,"At Risk")</f>
        <v>Meets Standard</v>
      </c>
      <c r="M8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30" spans="1:13" x14ac:dyDescent="0.25">
      <c r="A830" t="s">
        <v>0</v>
      </c>
      <c r="B830" t="s">
        <v>13</v>
      </c>
      <c r="C830" t="s">
        <v>15</v>
      </c>
      <c r="D830" t="s">
        <v>12</v>
      </c>
      <c r="E830" t="s">
        <v>7</v>
      </c>
      <c r="F830">
        <v>69</v>
      </c>
      <c r="G830">
        <v>86</v>
      </c>
      <c r="H830">
        <v>81</v>
      </c>
      <c r="I830" s="1">
        <f>AVERAGE(tblStudents[[#This Row],[Math Score]],tblStudents[[#This Row],[Reading Score]],tblStudents[[#This Row],[Writing Score]])</f>
        <v>78.666666666666671</v>
      </c>
      <c r="J830">
        <f>IF(tblStudents[[#This Row],[Average Score]]&gt;=60,1,0)</f>
        <v>1</v>
      </c>
      <c r="K830" t="str">
        <f>IF(tblStudents[[#This Row],[Average Score]]&gt;=60,"Pass","At Risk")</f>
        <v>Pass</v>
      </c>
      <c r="L830" t="str" cm="1">
        <f t="array" ref="L830">_xlfn.IFS(tblStudents[[#This Row],[Average Score]]&gt;=80,"High",tblStudents[[#This Row],[Average Score]]&gt;=60,"Meets Standard",TRUE,"At Risk")</f>
        <v>Meets Standard</v>
      </c>
      <c r="M8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831" spans="1:13" x14ac:dyDescent="0.25">
      <c r="A831" t="s">
        <v>9</v>
      </c>
      <c r="B831" t="s">
        <v>1</v>
      </c>
      <c r="C831" t="s">
        <v>15</v>
      </c>
      <c r="D831" t="s">
        <v>3</v>
      </c>
      <c r="E831" t="s">
        <v>4</v>
      </c>
      <c r="F831">
        <v>68</v>
      </c>
      <c r="G831">
        <v>54</v>
      </c>
      <c r="H831">
        <v>53</v>
      </c>
      <c r="I831" s="1">
        <f>AVERAGE(tblStudents[[#This Row],[Math Score]],tblStudents[[#This Row],[Reading Score]],tblStudents[[#This Row],[Writing Score]])</f>
        <v>58.333333333333336</v>
      </c>
      <c r="J831">
        <f>IF(tblStudents[[#This Row],[Average Score]]&gt;=60,1,0)</f>
        <v>0</v>
      </c>
      <c r="K831" t="str">
        <f>IF(tblStudents[[#This Row],[Average Score]]&gt;=60,"Pass","At Risk")</f>
        <v>At Risk</v>
      </c>
      <c r="L831" t="str" cm="1">
        <f t="array" ref="L831">_xlfn.IFS(tblStudents[[#This Row],[Average Score]]&gt;=80,"High",tblStudents[[#This Row],[Average Score]]&gt;=60,"Meets Standard",TRUE,"At Risk")</f>
        <v>At Risk</v>
      </c>
      <c r="M8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832" spans="1:13" x14ac:dyDescent="0.25">
      <c r="A832" t="s">
        <v>0</v>
      </c>
      <c r="B832" t="s">
        <v>10</v>
      </c>
      <c r="C832" t="s">
        <v>6</v>
      </c>
      <c r="D832" t="s">
        <v>12</v>
      </c>
      <c r="E832" t="s">
        <v>4</v>
      </c>
      <c r="F832">
        <v>61</v>
      </c>
      <c r="G832">
        <v>60</v>
      </c>
      <c r="H832">
        <v>57</v>
      </c>
      <c r="I832" s="1">
        <f>AVERAGE(tblStudents[[#This Row],[Math Score]],tblStudents[[#This Row],[Reading Score]],tblStudents[[#This Row],[Writing Score]])</f>
        <v>59.333333333333336</v>
      </c>
      <c r="J832">
        <f>IF(tblStudents[[#This Row],[Average Score]]&gt;=60,1,0)</f>
        <v>0</v>
      </c>
      <c r="K832" t="str">
        <f>IF(tblStudents[[#This Row],[Average Score]]&gt;=60,"Pass","At Risk")</f>
        <v>At Risk</v>
      </c>
      <c r="L832" t="str" cm="1">
        <f t="array" ref="L832">_xlfn.IFS(tblStudents[[#This Row],[Average Score]]&gt;=80,"High",tblStudents[[#This Row],[Average Score]]&gt;=60,"Meets Standard",TRUE,"At Risk")</f>
        <v>At Risk</v>
      </c>
      <c r="M8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833" spans="1:13" x14ac:dyDescent="0.25">
      <c r="A833" t="s">
        <v>0</v>
      </c>
      <c r="B833" t="s">
        <v>5</v>
      </c>
      <c r="C833" t="s">
        <v>2</v>
      </c>
      <c r="D833" t="s">
        <v>12</v>
      </c>
      <c r="E833" t="s">
        <v>7</v>
      </c>
      <c r="F833">
        <v>74</v>
      </c>
      <c r="G833">
        <v>86</v>
      </c>
      <c r="H833">
        <v>89</v>
      </c>
      <c r="I833" s="1">
        <f>AVERAGE(tblStudents[[#This Row],[Math Score]],tblStudents[[#This Row],[Reading Score]],tblStudents[[#This Row],[Writing Score]])</f>
        <v>83</v>
      </c>
      <c r="J833">
        <f>IF(tblStudents[[#This Row],[Average Score]]&gt;=60,1,0)</f>
        <v>1</v>
      </c>
      <c r="K833" t="str">
        <f>IF(tblStudents[[#This Row],[Average Score]]&gt;=60,"Pass","At Risk")</f>
        <v>Pass</v>
      </c>
      <c r="L833" t="str" cm="1">
        <f t="array" ref="L833">_xlfn.IFS(tblStudents[[#This Row],[Average Score]]&gt;=80,"High",tblStudents[[#This Row],[Average Score]]&gt;=60,"Meets Standard",TRUE,"At Risk")</f>
        <v>High</v>
      </c>
      <c r="M8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834" spans="1:13" x14ac:dyDescent="0.25">
      <c r="A834" t="s">
        <v>9</v>
      </c>
      <c r="B834" t="s">
        <v>10</v>
      </c>
      <c r="C834" t="s">
        <v>2</v>
      </c>
      <c r="D834" t="s">
        <v>3</v>
      </c>
      <c r="E834" t="s">
        <v>4</v>
      </c>
      <c r="F834">
        <v>64</v>
      </c>
      <c r="G834">
        <v>60</v>
      </c>
      <c r="H834">
        <v>58</v>
      </c>
      <c r="I834" s="1">
        <f>AVERAGE(tblStudents[[#This Row],[Math Score]],tblStudents[[#This Row],[Reading Score]],tblStudents[[#This Row],[Writing Score]])</f>
        <v>60.666666666666664</v>
      </c>
      <c r="J834">
        <f>IF(tblStudents[[#This Row],[Average Score]]&gt;=60,1,0)</f>
        <v>1</v>
      </c>
      <c r="K834" t="str">
        <f>IF(tblStudents[[#This Row],[Average Score]]&gt;=60,"Pass","At Risk")</f>
        <v>Pass</v>
      </c>
      <c r="L834" t="str" cm="1">
        <f t="array" ref="L834">_xlfn.IFS(tblStudents[[#This Row],[Average Score]]&gt;=80,"High",tblStudents[[#This Row],[Average Score]]&gt;=60,"Meets Standard",TRUE,"At Risk")</f>
        <v>Meets Standard</v>
      </c>
      <c r="M8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35" spans="1:13" x14ac:dyDescent="0.25">
      <c r="A835" t="s">
        <v>0</v>
      </c>
      <c r="B835" t="s">
        <v>1</v>
      </c>
      <c r="C835" t="s">
        <v>14</v>
      </c>
      <c r="D835" t="s">
        <v>3</v>
      </c>
      <c r="E835" t="s">
        <v>7</v>
      </c>
      <c r="F835">
        <v>77</v>
      </c>
      <c r="G835">
        <v>82</v>
      </c>
      <c r="H835">
        <v>89</v>
      </c>
      <c r="I835" s="1">
        <f>AVERAGE(tblStudents[[#This Row],[Math Score]],tblStudents[[#This Row],[Reading Score]],tblStudents[[#This Row],[Writing Score]])</f>
        <v>82.666666666666671</v>
      </c>
      <c r="J835">
        <f>IF(tblStudents[[#This Row],[Average Score]]&gt;=60,1,0)</f>
        <v>1</v>
      </c>
      <c r="K835" t="str">
        <f>IF(tblStudents[[#This Row],[Average Score]]&gt;=60,"Pass","At Risk")</f>
        <v>Pass</v>
      </c>
      <c r="L835" t="str" cm="1">
        <f t="array" ref="L835">_xlfn.IFS(tblStudents[[#This Row],[Average Score]]&gt;=80,"High",tblStudents[[#This Row],[Average Score]]&gt;=60,"Meets Standard",TRUE,"At Risk")</f>
        <v>High</v>
      </c>
      <c r="M8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836" spans="1:13" x14ac:dyDescent="0.25">
      <c r="A836" t="s">
        <v>9</v>
      </c>
      <c r="B836" t="s">
        <v>1</v>
      </c>
      <c r="C836" t="s">
        <v>6</v>
      </c>
      <c r="D836" t="s">
        <v>3</v>
      </c>
      <c r="E836" t="s">
        <v>4</v>
      </c>
      <c r="F836">
        <v>58</v>
      </c>
      <c r="G836">
        <v>50</v>
      </c>
      <c r="H836">
        <v>45</v>
      </c>
      <c r="I836" s="1">
        <f>AVERAGE(tblStudents[[#This Row],[Math Score]],tblStudents[[#This Row],[Reading Score]],tblStudents[[#This Row],[Writing Score]])</f>
        <v>51</v>
      </c>
      <c r="J836">
        <f>IF(tblStudents[[#This Row],[Average Score]]&gt;=60,1,0)</f>
        <v>0</v>
      </c>
      <c r="K836" t="str">
        <f>IF(tblStudents[[#This Row],[Average Score]]&gt;=60,"Pass","At Risk")</f>
        <v>At Risk</v>
      </c>
      <c r="L836" t="str" cm="1">
        <f t="array" ref="L836">_xlfn.IFS(tblStudents[[#This Row],[Average Score]]&gt;=80,"High",tblStudents[[#This Row],[Average Score]]&gt;=60,"Meets Standard",TRUE,"At Risk")</f>
        <v>At Risk</v>
      </c>
      <c r="M8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837" spans="1:13" x14ac:dyDescent="0.25">
      <c r="A837" t="s">
        <v>0</v>
      </c>
      <c r="B837" t="s">
        <v>5</v>
      </c>
      <c r="C837" t="s">
        <v>14</v>
      </c>
      <c r="D837" t="s">
        <v>3</v>
      </c>
      <c r="E837" t="s">
        <v>7</v>
      </c>
      <c r="F837">
        <v>60</v>
      </c>
      <c r="G837">
        <v>64</v>
      </c>
      <c r="H837">
        <v>74</v>
      </c>
      <c r="I837" s="1">
        <f>AVERAGE(tblStudents[[#This Row],[Math Score]],tblStudents[[#This Row],[Reading Score]],tblStudents[[#This Row],[Writing Score]])</f>
        <v>66</v>
      </c>
      <c r="J837">
        <f>IF(tblStudents[[#This Row],[Average Score]]&gt;=60,1,0)</f>
        <v>1</v>
      </c>
      <c r="K837" t="str">
        <f>IF(tblStudents[[#This Row],[Average Score]]&gt;=60,"Pass","At Risk")</f>
        <v>Pass</v>
      </c>
      <c r="L837" t="str" cm="1">
        <f t="array" ref="L837">_xlfn.IFS(tblStudents[[#This Row],[Average Score]]&gt;=80,"High",tblStudents[[#This Row],[Average Score]]&gt;=60,"Meets Standard",TRUE,"At Risk")</f>
        <v>Meets Standard</v>
      </c>
      <c r="M8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838" spans="1:13" x14ac:dyDescent="0.25">
      <c r="A838" t="s">
        <v>9</v>
      </c>
      <c r="B838" t="s">
        <v>16</v>
      </c>
      <c r="C838" t="s">
        <v>14</v>
      </c>
      <c r="D838" t="s">
        <v>3</v>
      </c>
      <c r="E838" t="s">
        <v>4</v>
      </c>
      <c r="F838">
        <v>73</v>
      </c>
      <c r="G838">
        <v>64</v>
      </c>
      <c r="H838">
        <v>57</v>
      </c>
      <c r="I838" s="1">
        <f>AVERAGE(tblStudents[[#This Row],[Math Score]],tblStudents[[#This Row],[Reading Score]],tblStudents[[#This Row],[Writing Score]])</f>
        <v>64.666666666666671</v>
      </c>
      <c r="J838">
        <f>IF(tblStudents[[#This Row],[Average Score]]&gt;=60,1,0)</f>
        <v>1</v>
      </c>
      <c r="K838" t="str">
        <f>IF(tblStudents[[#This Row],[Average Score]]&gt;=60,"Pass","At Risk")</f>
        <v>Pass</v>
      </c>
      <c r="L838" t="str" cm="1">
        <f t="array" ref="L838">_xlfn.IFS(tblStudents[[#This Row],[Average Score]]&gt;=80,"High",tblStudents[[#This Row],[Average Score]]&gt;=60,"Meets Standard",TRUE,"At Risk")</f>
        <v>Meets Standard</v>
      </c>
      <c r="M8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839" spans="1:13" x14ac:dyDescent="0.25">
      <c r="A839" t="s">
        <v>0</v>
      </c>
      <c r="B839" t="s">
        <v>10</v>
      </c>
      <c r="C839" t="s">
        <v>14</v>
      </c>
      <c r="D839" t="s">
        <v>3</v>
      </c>
      <c r="E839" t="s">
        <v>7</v>
      </c>
      <c r="F839">
        <v>75</v>
      </c>
      <c r="G839">
        <v>82</v>
      </c>
      <c r="H839">
        <v>79</v>
      </c>
      <c r="I839" s="1">
        <f>AVERAGE(tblStudents[[#This Row],[Math Score]],tblStudents[[#This Row],[Reading Score]],tblStudents[[#This Row],[Writing Score]])</f>
        <v>78.666666666666671</v>
      </c>
      <c r="J839">
        <f>IF(tblStudents[[#This Row],[Average Score]]&gt;=60,1,0)</f>
        <v>1</v>
      </c>
      <c r="K839" t="str">
        <f>IF(tblStudents[[#This Row],[Average Score]]&gt;=60,"Pass","At Risk")</f>
        <v>Pass</v>
      </c>
      <c r="L839" t="str" cm="1">
        <f t="array" ref="L839">_xlfn.IFS(tblStudents[[#This Row],[Average Score]]&gt;=80,"High",tblStudents[[#This Row],[Average Score]]&gt;=60,"Meets Standard",TRUE,"At Risk")</f>
        <v>Meets Standard</v>
      </c>
      <c r="M8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40" spans="1:13" x14ac:dyDescent="0.25">
      <c r="A840" t="s">
        <v>9</v>
      </c>
      <c r="B840" t="s">
        <v>1</v>
      </c>
      <c r="C840" t="s">
        <v>11</v>
      </c>
      <c r="D840" t="s">
        <v>12</v>
      </c>
      <c r="E840" t="s">
        <v>7</v>
      </c>
      <c r="F840">
        <v>58</v>
      </c>
      <c r="G840">
        <v>57</v>
      </c>
      <c r="H840">
        <v>53</v>
      </c>
      <c r="I840" s="1">
        <f>AVERAGE(tblStudents[[#This Row],[Math Score]],tblStudents[[#This Row],[Reading Score]],tblStudents[[#This Row],[Writing Score]])</f>
        <v>56</v>
      </c>
      <c r="J840">
        <f>IF(tblStudents[[#This Row],[Average Score]]&gt;=60,1,0)</f>
        <v>0</v>
      </c>
      <c r="K840" t="str">
        <f>IF(tblStudents[[#This Row],[Average Score]]&gt;=60,"Pass","At Risk")</f>
        <v>At Risk</v>
      </c>
      <c r="L840" t="str" cm="1">
        <f t="array" ref="L840">_xlfn.IFS(tblStudents[[#This Row],[Average Score]]&gt;=80,"High",tblStudents[[#This Row],[Average Score]]&gt;=60,"Meets Standard",TRUE,"At Risk")</f>
        <v>At Risk</v>
      </c>
      <c r="M8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841" spans="1:13" x14ac:dyDescent="0.25">
      <c r="A841" t="s">
        <v>0</v>
      </c>
      <c r="B841" t="s">
        <v>5</v>
      </c>
      <c r="C841" t="s">
        <v>11</v>
      </c>
      <c r="D841" t="s">
        <v>3</v>
      </c>
      <c r="E841" t="s">
        <v>4</v>
      </c>
      <c r="F841">
        <v>66</v>
      </c>
      <c r="G841">
        <v>77</v>
      </c>
      <c r="H841">
        <v>73</v>
      </c>
      <c r="I841" s="1">
        <f>AVERAGE(tblStudents[[#This Row],[Math Score]],tblStudents[[#This Row],[Reading Score]],tblStudents[[#This Row],[Writing Score]])</f>
        <v>72</v>
      </c>
      <c r="J841">
        <f>IF(tblStudents[[#This Row],[Average Score]]&gt;=60,1,0)</f>
        <v>1</v>
      </c>
      <c r="K841" t="str">
        <f>IF(tblStudents[[#This Row],[Average Score]]&gt;=60,"Pass","At Risk")</f>
        <v>Pass</v>
      </c>
      <c r="L841" t="str" cm="1">
        <f t="array" ref="L841">_xlfn.IFS(tblStudents[[#This Row],[Average Score]]&gt;=80,"High",tblStudents[[#This Row],[Average Score]]&gt;=60,"Meets Standard",TRUE,"At Risk")</f>
        <v>Meets Standard</v>
      </c>
      <c r="M8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42" spans="1:13" x14ac:dyDescent="0.25">
      <c r="A842" t="s">
        <v>0</v>
      </c>
      <c r="B842" t="s">
        <v>13</v>
      </c>
      <c r="C842" t="s">
        <v>14</v>
      </c>
      <c r="D842" t="s">
        <v>12</v>
      </c>
      <c r="E842" t="s">
        <v>4</v>
      </c>
      <c r="F842">
        <v>39</v>
      </c>
      <c r="G842">
        <v>52</v>
      </c>
      <c r="H842">
        <v>46</v>
      </c>
      <c r="I842" s="1">
        <f>AVERAGE(tblStudents[[#This Row],[Math Score]],tblStudents[[#This Row],[Reading Score]],tblStudents[[#This Row],[Writing Score]])</f>
        <v>45.666666666666664</v>
      </c>
      <c r="J842">
        <f>IF(tblStudents[[#This Row],[Average Score]]&gt;=60,1,0)</f>
        <v>0</v>
      </c>
      <c r="K842" t="str">
        <f>IF(tblStudents[[#This Row],[Average Score]]&gt;=60,"Pass","At Risk")</f>
        <v>At Risk</v>
      </c>
      <c r="L842" t="str" cm="1">
        <f t="array" ref="L842">_xlfn.IFS(tblStudents[[#This Row],[Average Score]]&gt;=80,"High",tblStudents[[#This Row],[Average Score]]&gt;=60,"Meets Standard",TRUE,"At Risk")</f>
        <v>At Risk</v>
      </c>
      <c r="M8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843" spans="1:13" x14ac:dyDescent="0.25">
      <c r="A843" t="s">
        <v>9</v>
      </c>
      <c r="B843" t="s">
        <v>5</v>
      </c>
      <c r="C843" t="s">
        <v>15</v>
      </c>
      <c r="D843" t="s">
        <v>3</v>
      </c>
      <c r="E843" t="s">
        <v>4</v>
      </c>
      <c r="F843">
        <v>64</v>
      </c>
      <c r="G843">
        <v>58</v>
      </c>
      <c r="H843">
        <v>51</v>
      </c>
      <c r="I843" s="1">
        <f>AVERAGE(tblStudents[[#This Row],[Math Score]],tblStudents[[#This Row],[Reading Score]],tblStudents[[#This Row],[Writing Score]])</f>
        <v>57.666666666666664</v>
      </c>
      <c r="J843">
        <f>IF(tblStudents[[#This Row],[Average Score]]&gt;=60,1,0)</f>
        <v>0</v>
      </c>
      <c r="K843" t="str">
        <f>IF(tblStudents[[#This Row],[Average Score]]&gt;=60,"Pass","At Risk")</f>
        <v>At Risk</v>
      </c>
      <c r="L843" t="str" cm="1">
        <f t="array" ref="L843">_xlfn.IFS(tblStudents[[#This Row],[Average Score]]&gt;=80,"High",tblStudents[[#This Row],[Average Score]]&gt;=60,"Meets Standard",TRUE,"At Risk")</f>
        <v>At Risk</v>
      </c>
      <c r="M8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844" spans="1:13" x14ac:dyDescent="0.25">
      <c r="A844" t="s">
        <v>0</v>
      </c>
      <c r="B844" t="s">
        <v>1</v>
      </c>
      <c r="C844" t="s">
        <v>14</v>
      </c>
      <c r="D844" t="s">
        <v>12</v>
      </c>
      <c r="E844" t="s">
        <v>7</v>
      </c>
      <c r="F844">
        <v>23</v>
      </c>
      <c r="G844">
        <v>44</v>
      </c>
      <c r="H844">
        <v>36</v>
      </c>
      <c r="I844" s="1">
        <f>AVERAGE(tblStudents[[#This Row],[Math Score]],tblStudents[[#This Row],[Reading Score]],tblStudents[[#This Row],[Writing Score]])</f>
        <v>34.333333333333336</v>
      </c>
      <c r="J844">
        <f>IF(tblStudents[[#This Row],[Average Score]]&gt;=60,1,0)</f>
        <v>0</v>
      </c>
      <c r="K844" t="str">
        <f>IF(tblStudents[[#This Row],[Average Score]]&gt;=60,"Pass","At Risk")</f>
        <v>At Risk</v>
      </c>
      <c r="L844" t="str" cm="1">
        <f t="array" ref="L844">_xlfn.IFS(tblStudents[[#This Row],[Average Score]]&gt;=80,"High",tblStudents[[#This Row],[Average Score]]&gt;=60,"Meets Standard",TRUE,"At Risk")</f>
        <v>At Risk</v>
      </c>
      <c r="M8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845" spans="1:13" x14ac:dyDescent="0.25">
      <c r="A845" t="s">
        <v>9</v>
      </c>
      <c r="B845" t="s">
        <v>1</v>
      </c>
      <c r="C845" t="s">
        <v>6</v>
      </c>
      <c r="D845" t="s">
        <v>12</v>
      </c>
      <c r="E845" t="s">
        <v>7</v>
      </c>
      <c r="F845">
        <v>74</v>
      </c>
      <c r="G845">
        <v>77</v>
      </c>
      <c r="H845">
        <v>76</v>
      </c>
      <c r="I845" s="1">
        <f>AVERAGE(tblStudents[[#This Row],[Math Score]],tblStudents[[#This Row],[Reading Score]],tblStudents[[#This Row],[Writing Score]])</f>
        <v>75.666666666666671</v>
      </c>
      <c r="J845">
        <f>IF(tblStudents[[#This Row],[Average Score]]&gt;=60,1,0)</f>
        <v>1</v>
      </c>
      <c r="K845" t="str">
        <f>IF(tblStudents[[#This Row],[Average Score]]&gt;=60,"Pass","At Risk")</f>
        <v>Pass</v>
      </c>
      <c r="L845" t="str" cm="1">
        <f t="array" ref="L845">_xlfn.IFS(tblStudents[[#This Row],[Average Score]]&gt;=80,"High",tblStudents[[#This Row],[Average Score]]&gt;=60,"Meets Standard",TRUE,"At Risk")</f>
        <v>Meets Standard</v>
      </c>
      <c r="M8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46" spans="1:13" x14ac:dyDescent="0.25">
      <c r="A846" t="s">
        <v>0</v>
      </c>
      <c r="B846" t="s">
        <v>13</v>
      </c>
      <c r="C846" t="s">
        <v>15</v>
      </c>
      <c r="D846" t="s">
        <v>12</v>
      </c>
      <c r="E846" t="s">
        <v>7</v>
      </c>
      <c r="F846">
        <v>40</v>
      </c>
      <c r="G846">
        <v>65</v>
      </c>
      <c r="H846">
        <v>64</v>
      </c>
      <c r="I846" s="1">
        <f>AVERAGE(tblStudents[[#This Row],[Math Score]],tblStudents[[#This Row],[Reading Score]],tblStudents[[#This Row],[Writing Score]])</f>
        <v>56.333333333333336</v>
      </c>
      <c r="J846">
        <f>IF(tblStudents[[#This Row],[Average Score]]&gt;=60,1,0)</f>
        <v>0</v>
      </c>
      <c r="K846" t="str">
        <f>IF(tblStudents[[#This Row],[Average Score]]&gt;=60,"Pass","At Risk")</f>
        <v>At Risk</v>
      </c>
      <c r="L846" t="str" cm="1">
        <f t="array" ref="L846">_xlfn.IFS(tblStudents[[#This Row],[Average Score]]&gt;=80,"High",tblStudents[[#This Row],[Average Score]]&gt;=60,"Meets Standard",TRUE,"At Risk")</f>
        <v>At Risk</v>
      </c>
      <c r="M8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25</v>
      </c>
    </row>
    <row r="847" spans="1:13" x14ac:dyDescent="0.25">
      <c r="A847" t="s">
        <v>9</v>
      </c>
      <c r="B847" t="s">
        <v>16</v>
      </c>
      <c r="C847" t="s">
        <v>8</v>
      </c>
      <c r="D847" t="s">
        <v>3</v>
      </c>
      <c r="E847" t="s">
        <v>4</v>
      </c>
      <c r="F847">
        <v>90</v>
      </c>
      <c r="G847">
        <v>85</v>
      </c>
      <c r="H847">
        <v>84</v>
      </c>
      <c r="I847" s="1">
        <f>AVERAGE(tblStudents[[#This Row],[Math Score]],tblStudents[[#This Row],[Reading Score]],tblStudents[[#This Row],[Writing Score]])</f>
        <v>86.333333333333329</v>
      </c>
      <c r="J847">
        <f>IF(tblStudents[[#This Row],[Average Score]]&gt;=60,1,0)</f>
        <v>1</v>
      </c>
      <c r="K847" t="str">
        <f>IF(tblStudents[[#This Row],[Average Score]]&gt;=60,"Pass","At Risk")</f>
        <v>Pass</v>
      </c>
      <c r="L847" t="str" cm="1">
        <f t="array" ref="L847">_xlfn.IFS(tblStudents[[#This Row],[Average Score]]&gt;=80,"High",tblStudents[[#This Row],[Average Score]]&gt;=60,"Meets Standard",TRUE,"At Risk")</f>
        <v>High</v>
      </c>
      <c r="M8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48" spans="1:13" x14ac:dyDescent="0.25">
      <c r="A848" t="s">
        <v>9</v>
      </c>
      <c r="B848" t="s">
        <v>5</v>
      </c>
      <c r="C848" t="s">
        <v>8</v>
      </c>
      <c r="D848" t="s">
        <v>3</v>
      </c>
      <c r="E848" t="s">
        <v>7</v>
      </c>
      <c r="F848">
        <v>91</v>
      </c>
      <c r="G848">
        <v>85</v>
      </c>
      <c r="H848">
        <v>85</v>
      </c>
      <c r="I848" s="1">
        <f>AVERAGE(tblStudents[[#This Row],[Math Score]],tblStudents[[#This Row],[Reading Score]],tblStudents[[#This Row],[Writing Score]])</f>
        <v>87</v>
      </c>
      <c r="J848">
        <f>IF(tblStudents[[#This Row],[Average Score]]&gt;=60,1,0)</f>
        <v>1</v>
      </c>
      <c r="K848" t="str">
        <f>IF(tblStudents[[#This Row],[Average Score]]&gt;=60,"Pass","At Risk")</f>
        <v>Pass</v>
      </c>
      <c r="L848" t="str" cm="1">
        <f t="array" ref="L848">_xlfn.IFS(tblStudents[[#This Row],[Average Score]]&gt;=80,"High",tblStudents[[#This Row],[Average Score]]&gt;=60,"Meets Standard",TRUE,"At Risk")</f>
        <v>High</v>
      </c>
      <c r="M8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49" spans="1:13" x14ac:dyDescent="0.25">
      <c r="A849" t="s">
        <v>9</v>
      </c>
      <c r="B849" t="s">
        <v>13</v>
      </c>
      <c r="C849" t="s">
        <v>14</v>
      </c>
      <c r="D849" t="s">
        <v>3</v>
      </c>
      <c r="E849" t="s">
        <v>4</v>
      </c>
      <c r="F849">
        <v>64</v>
      </c>
      <c r="G849">
        <v>54</v>
      </c>
      <c r="H849">
        <v>50</v>
      </c>
      <c r="I849" s="1">
        <f>AVERAGE(tblStudents[[#This Row],[Math Score]],tblStudents[[#This Row],[Reading Score]],tblStudents[[#This Row],[Writing Score]])</f>
        <v>56</v>
      </c>
      <c r="J849">
        <f>IF(tblStudents[[#This Row],[Average Score]]&gt;=60,1,0)</f>
        <v>0</v>
      </c>
      <c r="K849" t="str">
        <f>IF(tblStudents[[#This Row],[Average Score]]&gt;=60,"Pass","At Risk")</f>
        <v>At Risk</v>
      </c>
      <c r="L849" t="str" cm="1">
        <f t="array" ref="L849">_xlfn.IFS(tblStudents[[#This Row],[Average Score]]&gt;=80,"High",tblStudents[[#This Row],[Average Score]]&gt;=60,"Meets Standard",TRUE,"At Risk")</f>
        <v>At Risk</v>
      </c>
      <c r="M8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850" spans="1:13" x14ac:dyDescent="0.25">
      <c r="A850" t="s">
        <v>0</v>
      </c>
      <c r="B850" t="s">
        <v>5</v>
      </c>
      <c r="C850" t="s">
        <v>14</v>
      </c>
      <c r="D850" t="s">
        <v>3</v>
      </c>
      <c r="E850" t="s">
        <v>4</v>
      </c>
      <c r="F850">
        <v>59</v>
      </c>
      <c r="G850">
        <v>72</v>
      </c>
      <c r="H850">
        <v>68</v>
      </c>
      <c r="I850" s="1">
        <f>AVERAGE(tblStudents[[#This Row],[Math Score]],tblStudents[[#This Row],[Reading Score]],tblStudents[[#This Row],[Writing Score]])</f>
        <v>66.333333333333329</v>
      </c>
      <c r="J850">
        <f>IF(tblStudents[[#This Row],[Average Score]]&gt;=60,1,0)</f>
        <v>1</v>
      </c>
      <c r="K850" t="str">
        <f>IF(tblStudents[[#This Row],[Average Score]]&gt;=60,"Pass","At Risk")</f>
        <v>Pass</v>
      </c>
      <c r="L850" t="str" cm="1">
        <f t="array" ref="L850">_xlfn.IFS(tblStudents[[#This Row],[Average Score]]&gt;=80,"High",tblStudents[[#This Row],[Average Score]]&gt;=60,"Meets Standard",TRUE,"At Risk")</f>
        <v>Meets Standard</v>
      </c>
      <c r="M8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851" spans="1:13" x14ac:dyDescent="0.25">
      <c r="A851" t="s">
        <v>9</v>
      </c>
      <c r="B851" t="s">
        <v>13</v>
      </c>
      <c r="C851" t="s">
        <v>11</v>
      </c>
      <c r="D851" t="s">
        <v>3</v>
      </c>
      <c r="E851" t="s">
        <v>4</v>
      </c>
      <c r="F851">
        <v>80</v>
      </c>
      <c r="G851">
        <v>75</v>
      </c>
      <c r="H851">
        <v>69</v>
      </c>
      <c r="I851" s="1">
        <f>AVERAGE(tblStudents[[#This Row],[Math Score]],tblStudents[[#This Row],[Reading Score]],tblStudents[[#This Row],[Writing Score]])</f>
        <v>74.666666666666671</v>
      </c>
      <c r="J851">
        <f>IF(tblStudents[[#This Row],[Average Score]]&gt;=60,1,0)</f>
        <v>1</v>
      </c>
      <c r="K851" t="str">
        <f>IF(tblStudents[[#This Row],[Average Score]]&gt;=60,"Pass","At Risk")</f>
        <v>Pass</v>
      </c>
      <c r="L851" t="str" cm="1">
        <f t="array" ref="L851">_xlfn.IFS(tblStudents[[#This Row],[Average Score]]&gt;=80,"High",tblStudents[[#This Row],[Average Score]]&gt;=60,"Meets Standard",TRUE,"At Risk")</f>
        <v>Meets Standard</v>
      </c>
      <c r="M8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52" spans="1:13" x14ac:dyDescent="0.25">
      <c r="A852" t="s">
        <v>9</v>
      </c>
      <c r="B852" t="s">
        <v>5</v>
      </c>
      <c r="C852" t="s">
        <v>8</v>
      </c>
      <c r="D852" t="s">
        <v>3</v>
      </c>
      <c r="E852" t="s">
        <v>4</v>
      </c>
      <c r="F852">
        <v>71</v>
      </c>
      <c r="G852">
        <v>67</v>
      </c>
      <c r="H852">
        <v>67</v>
      </c>
      <c r="I852" s="1">
        <f>AVERAGE(tblStudents[[#This Row],[Math Score]],tblStudents[[#This Row],[Reading Score]],tblStudents[[#This Row],[Writing Score]])</f>
        <v>68.333333333333329</v>
      </c>
      <c r="J852">
        <f>IF(tblStudents[[#This Row],[Average Score]]&gt;=60,1,0)</f>
        <v>1</v>
      </c>
      <c r="K852" t="str">
        <f>IF(tblStudents[[#This Row],[Average Score]]&gt;=60,"Pass","At Risk")</f>
        <v>Pass</v>
      </c>
      <c r="L852" t="str" cm="1">
        <f t="array" ref="L852">_xlfn.IFS(tblStudents[[#This Row],[Average Score]]&gt;=80,"High",tblStudents[[#This Row],[Average Score]]&gt;=60,"Meets Standard",TRUE,"At Risk")</f>
        <v>Meets Standard</v>
      </c>
      <c r="M8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853" spans="1:13" x14ac:dyDescent="0.25">
      <c r="A853" t="s">
        <v>0</v>
      </c>
      <c r="B853" t="s">
        <v>10</v>
      </c>
      <c r="C853" t="s">
        <v>14</v>
      </c>
      <c r="D853" t="s">
        <v>3</v>
      </c>
      <c r="E853" t="s">
        <v>4</v>
      </c>
      <c r="F853">
        <v>61</v>
      </c>
      <c r="G853">
        <v>68</v>
      </c>
      <c r="H853">
        <v>63</v>
      </c>
      <c r="I853" s="1">
        <f>AVERAGE(tblStudents[[#This Row],[Math Score]],tblStudents[[#This Row],[Reading Score]],tblStudents[[#This Row],[Writing Score]])</f>
        <v>64</v>
      </c>
      <c r="J853">
        <f>IF(tblStudents[[#This Row],[Average Score]]&gt;=60,1,0)</f>
        <v>1</v>
      </c>
      <c r="K853" t="str">
        <f>IF(tblStudents[[#This Row],[Average Score]]&gt;=60,"Pass","At Risk")</f>
        <v>Pass</v>
      </c>
      <c r="L853" t="str" cm="1">
        <f t="array" ref="L853">_xlfn.IFS(tblStudents[[#This Row],[Average Score]]&gt;=80,"High",tblStudents[[#This Row],[Average Score]]&gt;=60,"Meets Standard",TRUE,"At Risk")</f>
        <v>Meets Standard</v>
      </c>
      <c r="M8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54" spans="1:13" x14ac:dyDescent="0.25">
      <c r="A854" t="s">
        <v>0</v>
      </c>
      <c r="B854" t="s">
        <v>16</v>
      </c>
      <c r="C854" t="s">
        <v>6</v>
      </c>
      <c r="D854" t="s">
        <v>3</v>
      </c>
      <c r="E854" t="s">
        <v>4</v>
      </c>
      <c r="F854">
        <v>87</v>
      </c>
      <c r="G854">
        <v>85</v>
      </c>
      <c r="H854">
        <v>93</v>
      </c>
      <c r="I854" s="1">
        <f>AVERAGE(tblStudents[[#This Row],[Math Score]],tblStudents[[#This Row],[Reading Score]],tblStudents[[#This Row],[Writing Score]])</f>
        <v>88.333333333333329</v>
      </c>
      <c r="J854">
        <f>IF(tblStudents[[#This Row],[Average Score]]&gt;=60,1,0)</f>
        <v>1</v>
      </c>
      <c r="K854" t="str">
        <f>IF(tblStudents[[#This Row],[Average Score]]&gt;=60,"Pass","At Risk")</f>
        <v>Pass</v>
      </c>
      <c r="L854" t="str" cm="1">
        <f t="array" ref="L854">_xlfn.IFS(tblStudents[[#This Row],[Average Score]]&gt;=80,"High",tblStudents[[#This Row],[Average Score]]&gt;=60,"Meets Standard",TRUE,"At Risk")</f>
        <v>High</v>
      </c>
      <c r="M8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855" spans="1:13" x14ac:dyDescent="0.25">
      <c r="A855" t="s">
        <v>9</v>
      </c>
      <c r="B855" t="s">
        <v>16</v>
      </c>
      <c r="C855" t="s">
        <v>15</v>
      </c>
      <c r="D855" t="s">
        <v>3</v>
      </c>
      <c r="E855" t="s">
        <v>4</v>
      </c>
      <c r="F855">
        <v>82</v>
      </c>
      <c r="G855">
        <v>67</v>
      </c>
      <c r="H855">
        <v>61</v>
      </c>
      <c r="I855" s="1">
        <f>AVERAGE(tblStudents[[#This Row],[Math Score]],tblStudents[[#This Row],[Reading Score]],tblStudents[[#This Row],[Writing Score]])</f>
        <v>70</v>
      </c>
      <c r="J855">
        <f>IF(tblStudents[[#This Row],[Average Score]]&gt;=60,1,0)</f>
        <v>1</v>
      </c>
      <c r="K855" t="str">
        <f>IF(tblStudents[[#This Row],[Average Score]]&gt;=60,"Pass","At Risk")</f>
        <v>Pass</v>
      </c>
      <c r="L855" t="str" cm="1">
        <f t="array" ref="L855">_xlfn.IFS(tblStudents[[#This Row],[Average Score]]&gt;=80,"High",tblStudents[[#This Row],[Average Score]]&gt;=60,"Meets Standard",TRUE,"At Risk")</f>
        <v>Meets Standard</v>
      </c>
      <c r="M8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856" spans="1:13" x14ac:dyDescent="0.25">
      <c r="A856" t="s">
        <v>9</v>
      </c>
      <c r="B856" t="s">
        <v>5</v>
      </c>
      <c r="C856" t="s">
        <v>15</v>
      </c>
      <c r="D856" t="s">
        <v>3</v>
      </c>
      <c r="E856" t="s">
        <v>4</v>
      </c>
      <c r="F856">
        <v>62</v>
      </c>
      <c r="G856">
        <v>64</v>
      </c>
      <c r="H856">
        <v>55</v>
      </c>
      <c r="I856" s="1">
        <f>AVERAGE(tblStudents[[#This Row],[Math Score]],tblStudents[[#This Row],[Reading Score]],tblStudents[[#This Row],[Writing Score]])</f>
        <v>60.333333333333336</v>
      </c>
      <c r="J856">
        <f>IF(tblStudents[[#This Row],[Average Score]]&gt;=60,1,0)</f>
        <v>1</v>
      </c>
      <c r="K856" t="str">
        <f>IF(tblStudents[[#This Row],[Average Score]]&gt;=60,"Pass","At Risk")</f>
        <v>Pass</v>
      </c>
      <c r="L856" t="str" cm="1">
        <f t="array" ref="L856">_xlfn.IFS(tblStudents[[#This Row],[Average Score]]&gt;=80,"High",tblStudents[[#This Row],[Average Score]]&gt;=60,"Meets Standard",TRUE,"At Risk")</f>
        <v>Meets Standard</v>
      </c>
      <c r="M8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57" spans="1:13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>
        <v>97</v>
      </c>
      <c r="G857">
        <v>97</v>
      </c>
      <c r="H857">
        <v>96</v>
      </c>
      <c r="I857" s="1">
        <f>AVERAGE(tblStudents[[#This Row],[Math Score]],tblStudents[[#This Row],[Reading Score]],tblStudents[[#This Row],[Writing Score]])</f>
        <v>96.666666666666671</v>
      </c>
      <c r="J857">
        <f>IF(tblStudents[[#This Row],[Average Score]]&gt;=60,1,0)</f>
        <v>1</v>
      </c>
      <c r="K857" t="str">
        <f>IF(tblStudents[[#This Row],[Average Score]]&gt;=60,"Pass","At Risk")</f>
        <v>Pass</v>
      </c>
      <c r="L857" t="str" cm="1">
        <f t="array" ref="L857">_xlfn.IFS(tblStudents[[#This Row],[Average Score]]&gt;=80,"High",tblStudents[[#This Row],[Average Score]]&gt;=60,"Meets Standard",TRUE,"At Risk")</f>
        <v>High</v>
      </c>
      <c r="M8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858" spans="1:13" x14ac:dyDescent="0.25">
      <c r="A858" t="s">
        <v>9</v>
      </c>
      <c r="B858" t="s">
        <v>1</v>
      </c>
      <c r="C858" t="s">
        <v>6</v>
      </c>
      <c r="D858" t="s">
        <v>12</v>
      </c>
      <c r="E858" t="s">
        <v>4</v>
      </c>
      <c r="F858">
        <v>75</v>
      </c>
      <c r="G858">
        <v>68</v>
      </c>
      <c r="H858">
        <v>65</v>
      </c>
      <c r="I858" s="1">
        <f>AVERAGE(tblStudents[[#This Row],[Math Score]],tblStudents[[#This Row],[Reading Score]],tblStudents[[#This Row],[Writing Score]])</f>
        <v>69.333333333333329</v>
      </c>
      <c r="J858">
        <f>IF(tblStudents[[#This Row],[Average Score]]&gt;=60,1,0)</f>
        <v>1</v>
      </c>
      <c r="K858" t="str">
        <f>IF(tblStudents[[#This Row],[Average Score]]&gt;=60,"Pass","At Risk")</f>
        <v>Pass</v>
      </c>
      <c r="L858" t="str" cm="1">
        <f t="array" ref="L858">_xlfn.IFS(tblStudents[[#This Row],[Average Score]]&gt;=80,"High",tblStudents[[#This Row],[Average Score]]&gt;=60,"Meets Standard",TRUE,"At Risk")</f>
        <v>Meets Standard</v>
      </c>
      <c r="M8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859" spans="1:13" x14ac:dyDescent="0.25">
      <c r="A859" t="s">
        <v>0</v>
      </c>
      <c r="B859" t="s">
        <v>5</v>
      </c>
      <c r="C859" t="s">
        <v>2</v>
      </c>
      <c r="D859" t="s">
        <v>3</v>
      </c>
      <c r="E859" t="s">
        <v>4</v>
      </c>
      <c r="F859">
        <v>65</v>
      </c>
      <c r="G859">
        <v>79</v>
      </c>
      <c r="H859">
        <v>81</v>
      </c>
      <c r="I859" s="1">
        <f>AVERAGE(tblStudents[[#This Row],[Math Score]],tblStudents[[#This Row],[Reading Score]],tblStudents[[#This Row],[Writing Score]])</f>
        <v>75</v>
      </c>
      <c r="J859">
        <f>IF(tblStudents[[#This Row],[Average Score]]&gt;=60,1,0)</f>
        <v>1</v>
      </c>
      <c r="K859" t="str">
        <f>IF(tblStudents[[#This Row],[Average Score]]&gt;=60,"Pass","At Risk")</f>
        <v>Pass</v>
      </c>
      <c r="L859" t="str" cm="1">
        <f t="array" ref="L859">_xlfn.IFS(tblStudents[[#This Row],[Average Score]]&gt;=80,"High",tblStudents[[#This Row],[Average Score]]&gt;=60,"Meets Standard",TRUE,"At Risk")</f>
        <v>Meets Standard</v>
      </c>
      <c r="M8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860" spans="1:13" x14ac:dyDescent="0.25">
      <c r="A860" t="s">
        <v>9</v>
      </c>
      <c r="B860" t="s">
        <v>1</v>
      </c>
      <c r="C860" t="s">
        <v>14</v>
      </c>
      <c r="D860" t="s">
        <v>3</v>
      </c>
      <c r="E860" t="s">
        <v>7</v>
      </c>
      <c r="F860">
        <v>52</v>
      </c>
      <c r="G860">
        <v>49</v>
      </c>
      <c r="H860">
        <v>46</v>
      </c>
      <c r="I860" s="1">
        <f>AVERAGE(tblStudents[[#This Row],[Math Score]],tblStudents[[#This Row],[Reading Score]],tblStudents[[#This Row],[Writing Score]])</f>
        <v>49</v>
      </c>
      <c r="J860">
        <f>IF(tblStudents[[#This Row],[Average Score]]&gt;=60,1,0)</f>
        <v>0</v>
      </c>
      <c r="K860" t="str">
        <f>IF(tblStudents[[#This Row],[Average Score]]&gt;=60,"Pass","At Risk")</f>
        <v>At Risk</v>
      </c>
      <c r="L860" t="str" cm="1">
        <f t="array" ref="L860">_xlfn.IFS(tblStudents[[#This Row],[Average Score]]&gt;=80,"High",tblStudents[[#This Row],[Average Score]]&gt;=60,"Meets Standard",TRUE,"At Risk")</f>
        <v>At Risk</v>
      </c>
      <c r="M8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61" spans="1:13" x14ac:dyDescent="0.25">
      <c r="A861" t="s">
        <v>9</v>
      </c>
      <c r="B861" t="s">
        <v>5</v>
      </c>
      <c r="C861" t="s">
        <v>11</v>
      </c>
      <c r="D861" t="s">
        <v>12</v>
      </c>
      <c r="E861" t="s">
        <v>4</v>
      </c>
      <c r="F861">
        <v>87</v>
      </c>
      <c r="G861">
        <v>73</v>
      </c>
      <c r="H861">
        <v>72</v>
      </c>
      <c r="I861" s="1">
        <f>AVERAGE(tblStudents[[#This Row],[Math Score]],tblStudents[[#This Row],[Reading Score]],tblStudents[[#This Row],[Writing Score]])</f>
        <v>77.333333333333329</v>
      </c>
      <c r="J861">
        <f>IF(tblStudents[[#This Row],[Average Score]]&gt;=60,1,0)</f>
        <v>1</v>
      </c>
      <c r="K861" t="str">
        <f>IF(tblStudents[[#This Row],[Average Score]]&gt;=60,"Pass","At Risk")</f>
        <v>Pass</v>
      </c>
      <c r="L861" t="str" cm="1">
        <f t="array" ref="L861">_xlfn.IFS(tblStudents[[#This Row],[Average Score]]&gt;=80,"High",tblStudents[[#This Row],[Average Score]]&gt;=60,"Meets Standard",TRUE,"At Risk")</f>
        <v>Meets Standard</v>
      </c>
      <c r="M8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862" spans="1:13" x14ac:dyDescent="0.25">
      <c r="A862" t="s">
        <v>0</v>
      </c>
      <c r="B862" t="s">
        <v>5</v>
      </c>
      <c r="C862" t="s">
        <v>11</v>
      </c>
      <c r="D862" t="s">
        <v>3</v>
      </c>
      <c r="E862" t="s">
        <v>4</v>
      </c>
      <c r="F862">
        <v>53</v>
      </c>
      <c r="G862">
        <v>62</v>
      </c>
      <c r="H862">
        <v>53</v>
      </c>
      <c r="I862" s="1">
        <f>AVERAGE(tblStudents[[#This Row],[Math Score]],tblStudents[[#This Row],[Reading Score]],tblStudents[[#This Row],[Writing Score]])</f>
        <v>56</v>
      </c>
      <c r="J862">
        <f>IF(tblStudents[[#This Row],[Average Score]]&gt;=60,1,0)</f>
        <v>0</v>
      </c>
      <c r="K862" t="str">
        <f>IF(tblStudents[[#This Row],[Average Score]]&gt;=60,"Pass","At Risk")</f>
        <v>At Risk</v>
      </c>
      <c r="L862" t="str" cm="1">
        <f t="array" ref="L862">_xlfn.IFS(tblStudents[[#This Row],[Average Score]]&gt;=80,"High",tblStudents[[#This Row],[Average Score]]&gt;=60,"Meets Standard",TRUE,"At Risk")</f>
        <v>At Risk</v>
      </c>
      <c r="M8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63" spans="1:13" x14ac:dyDescent="0.25">
      <c r="A863" t="s">
        <v>0</v>
      </c>
      <c r="B863" t="s">
        <v>16</v>
      </c>
      <c r="C863" t="s">
        <v>8</v>
      </c>
      <c r="D863" t="s">
        <v>12</v>
      </c>
      <c r="E863" t="s">
        <v>4</v>
      </c>
      <c r="F863">
        <v>81</v>
      </c>
      <c r="G863">
        <v>86</v>
      </c>
      <c r="H863">
        <v>87</v>
      </c>
      <c r="I863" s="1">
        <f>AVERAGE(tblStudents[[#This Row],[Math Score]],tblStudents[[#This Row],[Reading Score]],tblStudents[[#This Row],[Writing Score]])</f>
        <v>84.666666666666671</v>
      </c>
      <c r="J863">
        <f>IF(tblStudents[[#This Row],[Average Score]]&gt;=60,1,0)</f>
        <v>1</v>
      </c>
      <c r="K863" t="str">
        <f>IF(tblStudents[[#This Row],[Average Score]]&gt;=60,"Pass","At Risk")</f>
        <v>Pass</v>
      </c>
      <c r="L863" t="str" cm="1">
        <f t="array" ref="L863">_xlfn.IFS(tblStudents[[#This Row],[Average Score]]&gt;=80,"High",tblStudents[[#This Row],[Average Score]]&gt;=60,"Meets Standard",TRUE,"At Risk")</f>
        <v>High</v>
      </c>
      <c r="M8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64" spans="1:13" x14ac:dyDescent="0.25">
      <c r="A864" t="s">
        <v>9</v>
      </c>
      <c r="B864" t="s">
        <v>13</v>
      </c>
      <c r="C864" t="s">
        <v>2</v>
      </c>
      <c r="D864" t="s">
        <v>12</v>
      </c>
      <c r="E864" t="s">
        <v>7</v>
      </c>
      <c r="F864">
        <v>39</v>
      </c>
      <c r="G864">
        <v>42</v>
      </c>
      <c r="H864">
        <v>38</v>
      </c>
      <c r="I864" s="1">
        <f>AVERAGE(tblStudents[[#This Row],[Math Score]],tblStudents[[#This Row],[Reading Score]],tblStudents[[#This Row],[Writing Score]])</f>
        <v>39.666666666666664</v>
      </c>
      <c r="J864">
        <f>IF(tblStudents[[#This Row],[Average Score]]&gt;=60,1,0)</f>
        <v>0</v>
      </c>
      <c r="K864" t="str">
        <f>IF(tblStudents[[#This Row],[Average Score]]&gt;=60,"Pass","At Risk")</f>
        <v>At Risk</v>
      </c>
      <c r="L864" t="str" cm="1">
        <f t="array" ref="L864">_xlfn.IFS(tblStudents[[#This Row],[Average Score]]&gt;=80,"High",tblStudents[[#This Row],[Average Score]]&gt;=60,"Meets Standard",TRUE,"At Risk")</f>
        <v>At Risk</v>
      </c>
      <c r="M8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865" spans="1:13" x14ac:dyDescent="0.25">
      <c r="A865" t="s">
        <v>0</v>
      </c>
      <c r="B865" t="s">
        <v>5</v>
      </c>
      <c r="C865" t="s">
        <v>6</v>
      </c>
      <c r="D865" t="s">
        <v>3</v>
      </c>
      <c r="E865" t="s">
        <v>7</v>
      </c>
      <c r="F865">
        <v>71</v>
      </c>
      <c r="G865">
        <v>71</v>
      </c>
      <c r="H865">
        <v>80</v>
      </c>
      <c r="I865" s="1">
        <f>AVERAGE(tblStudents[[#This Row],[Math Score]],tblStudents[[#This Row],[Reading Score]],tblStudents[[#This Row],[Writing Score]])</f>
        <v>74</v>
      </c>
      <c r="J865">
        <f>IF(tblStudents[[#This Row],[Average Score]]&gt;=60,1,0)</f>
        <v>1</v>
      </c>
      <c r="K865" t="str">
        <f>IF(tblStudents[[#This Row],[Average Score]]&gt;=60,"Pass","At Risk")</f>
        <v>Pass</v>
      </c>
      <c r="L865" t="str" cm="1">
        <f t="array" ref="L865">_xlfn.IFS(tblStudents[[#This Row],[Average Score]]&gt;=80,"High",tblStudents[[#This Row],[Average Score]]&gt;=60,"Meets Standard",TRUE,"At Risk")</f>
        <v>Meets Standard</v>
      </c>
      <c r="M8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66" spans="1:13" x14ac:dyDescent="0.25">
      <c r="A866" t="s">
        <v>9</v>
      </c>
      <c r="B866" t="s">
        <v>5</v>
      </c>
      <c r="C866" t="s">
        <v>11</v>
      </c>
      <c r="D866" t="s">
        <v>3</v>
      </c>
      <c r="E866" t="s">
        <v>4</v>
      </c>
      <c r="F866">
        <v>97</v>
      </c>
      <c r="G866">
        <v>93</v>
      </c>
      <c r="H866">
        <v>91</v>
      </c>
      <c r="I866" s="1">
        <f>AVERAGE(tblStudents[[#This Row],[Math Score]],tblStudents[[#This Row],[Reading Score]],tblStudents[[#This Row],[Writing Score]])</f>
        <v>93.666666666666671</v>
      </c>
      <c r="J866">
        <f>IF(tblStudents[[#This Row],[Average Score]]&gt;=60,1,0)</f>
        <v>1</v>
      </c>
      <c r="K866" t="str">
        <f>IF(tblStudents[[#This Row],[Average Score]]&gt;=60,"Pass","At Risk")</f>
        <v>Pass</v>
      </c>
      <c r="L866" t="str" cm="1">
        <f t="array" ref="L866">_xlfn.IFS(tblStudents[[#This Row],[Average Score]]&gt;=80,"High",tblStudents[[#This Row],[Average Score]]&gt;=60,"Meets Standard",TRUE,"At Risk")</f>
        <v>High</v>
      </c>
      <c r="M8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67" spans="1:13" x14ac:dyDescent="0.25">
      <c r="A867" t="s">
        <v>9</v>
      </c>
      <c r="B867" t="s">
        <v>13</v>
      </c>
      <c r="C867" t="s">
        <v>6</v>
      </c>
      <c r="D867" t="s">
        <v>3</v>
      </c>
      <c r="E867" t="s">
        <v>7</v>
      </c>
      <c r="F867">
        <v>82</v>
      </c>
      <c r="G867">
        <v>82</v>
      </c>
      <c r="H867">
        <v>88</v>
      </c>
      <c r="I867" s="1">
        <f>AVERAGE(tblStudents[[#This Row],[Math Score]],tblStudents[[#This Row],[Reading Score]],tblStudents[[#This Row],[Writing Score]])</f>
        <v>84</v>
      </c>
      <c r="J867">
        <f>IF(tblStudents[[#This Row],[Average Score]]&gt;=60,1,0)</f>
        <v>1</v>
      </c>
      <c r="K867" t="str">
        <f>IF(tblStudents[[#This Row],[Average Score]]&gt;=60,"Pass","At Risk")</f>
        <v>Pass</v>
      </c>
      <c r="L867" t="str" cm="1">
        <f t="array" ref="L867">_xlfn.IFS(tblStudents[[#This Row],[Average Score]]&gt;=80,"High",tblStudents[[#This Row],[Average Score]]&gt;=60,"Meets Standard",TRUE,"At Risk")</f>
        <v>High</v>
      </c>
      <c r="M8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68" spans="1:13" x14ac:dyDescent="0.25">
      <c r="A868" t="s">
        <v>9</v>
      </c>
      <c r="B868" t="s">
        <v>5</v>
      </c>
      <c r="C868" t="s">
        <v>14</v>
      </c>
      <c r="D868" t="s">
        <v>12</v>
      </c>
      <c r="E868" t="s">
        <v>4</v>
      </c>
      <c r="F868">
        <v>59</v>
      </c>
      <c r="G868">
        <v>53</v>
      </c>
      <c r="H868">
        <v>52</v>
      </c>
      <c r="I868" s="1">
        <f>AVERAGE(tblStudents[[#This Row],[Math Score]],tblStudents[[#This Row],[Reading Score]],tblStudents[[#This Row],[Writing Score]])</f>
        <v>54.666666666666664</v>
      </c>
      <c r="J868">
        <f>IF(tblStudents[[#This Row],[Average Score]]&gt;=60,1,0)</f>
        <v>0</v>
      </c>
      <c r="K868" t="str">
        <f>IF(tblStudents[[#This Row],[Average Score]]&gt;=60,"Pass","At Risk")</f>
        <v>At Risk</v>
      </c>
      <c r="L868" t="str" cm="1">
        <f t="array" ref="L868">_xlfn.IFS(tblStudents[[#This Row],[Average Score]]&gt;=80,"High",tblStudents[[#This Row],[Average Score]]&gt;=60,"Meets Standard",TRUE,"At Risk")</f>
        <v>At Risk</v>
      </c>
      <c r="M8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69" spans="1:13" x14ac:dyDescent="0.25">
      <c r="A869" t="s">
        <v>9</v>
      </c>
      <c r="B869" t="s">
        <v>1</v>
      </c>
      <c r="C869" t="s">
        <v>11</v>
      </c>
      <c r="D869" t="s">
        <v>3</v>
      </c>
      <c r="E869" t="s">
        <v>4</v>
      </c>
      <c r="F869">
        <v>61</v>
      </c>
      <c r="G869">
        <v>42</v>
      </c>
      <c r="H869">
        <v>41</v>
      </c>
      <c r="I869" s="1">
        <f>AVERAGE(tblStudents[[#This Row],[Math Score]],tblStudents[[#This Row],[Reading Score]],tblStudents[[#This Row],[Writing Score]])</f>
        <v>48</v>
      </c>
      <c r="J869">
        <f>IF(tblStudents[[#This Row],[Average Score]]&gt;=60,1,0)</f>
        <v>0</v>
      </c>
      <c r="K869" t="str">
        <f>IF(tblStudents[[#This Row],[Average Score]]&gt;=60,"Pass","At Risk")</f>
        <v>At Risk</v>
      </c>
      <c r="L869" t="str" cm="1">
        <f t="array" ref="L869">_xlfn.IFS(tblStudents[[#This Row],[Average Score]]&gt;=80,"High",tblStudents[[#This Row],[Average Score]]&gt;=60,"Meets Standard",TRUE,"At Risk")</f>
        <v>At Risk</v>
      </c>
      <c r="M8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20</v>
      </c>
    </row>
    <row r="870" spans="1:13" x14ac:dyDescent="0.25">
      <c r="A870" t="s">
        <v>9</v>
      </c>
      <c r="B870" t="s">
        <v>16</v>
      </c>
      <c r="C870" t="s">
        <v>11</v>
      </c>
      <c r="D870" t="s">
        <v>12</v>
      </c>
      <c r="E870" t="s">
        <v>7</v>
      </c>
      <c r="F870">
        <v>78</v>
      </c>
      <c r="G870">
        <v>74</v>
      </c>
      <c r="H870">
        <v>72</v>
      </c>
      <c r="I870" s="1">
        <f>AVERAGE(tblStudents[[#This Row],[Math Score]],tblStudents[[#This Row],[Reading Score]],tblStudents[[#This Row],[Writing Score]])</f>
        <v>74.666666666666671</v>
      </c>
      <c r="J870">
        <f>IF(tblStudents[[#This Row],[Average Score]]&gt;=60,1,0)</f>
        <v>1</v>
      </c>
      <c r="K870" t="str">
        <f>IF(tblStudents[[#This Row],[Average Score]]&gt;=60,"Pass","At Risk")</f>
        <v>Pass</v>
      </c>
      <c r="L870" t="str" cm="1">
        <f t="array" ref="L870">_xlfn.IFS(tblStudents[[#This Row],[Average Score]]&gt;=80,"High",tblStudents[[#This Row],[Average Score]]&gt;=60,"Meets Standard",TRUE,"At Risk")</f>
        <v>Meets Standard</v>
      </c>
      <c r="M8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71" spans="1:13" x14ac:dyDescent="0.25">
      <c r="A871" t="s">
        <v>9</v>
      </c>
      <c r="B871" t="s">
        <v>5</v>
      </c>
      <c r="C871" t="s">
        <v>11</v>
      </c>
      <c r="D871" t="s">
        <v>12</v>
      </c>
      <c r="E871" t="s">
        <v>4</v>
      </c>
      <c r="F871">
        <v>49</v>
      </c>
      <c r="G871">
        <v>51</v>
      </c>
      <c r="H871">
        <v>51</v>
      </c>
      <c r="I871" s="1">
        <f>AVERAGE(tblStudents[[#This Row],[Math Score]],tblStudents[[#This Row],[Reading Score]],tblStudents[[#This Row],[Writing Score]])</f>
        <v>50.333333333333336</v>
      </c>
      <c r="J871">
        <f>IF(tblStudents[[#This Row],[Average Score]]&gt;=60,1,0)</f>
        <v>0</v>
      </c>
      <c r="K871" t="str">
        <f>IF(tblStudents[[#This Row],[Average Score]]&gt;=60,"Pass","At Risk")</f>
        <v>At Risk</v>
      </c>
      <c r="L871" t="str" cm="1">
        <f t="array" ref="L871">_xlfn.IFS(tblStudents[[#This Row],[Average Score]]&gt;=80,"High",tblStudents[[#This Row],[Average Score]]&gt;=60,"Meets Standard",TRUE,"At Risk")</f>
        <v>At Risk</v>
      </c>
      <c r="M8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872" spans="1:13" x14ac:dyDescent="0.25">
      <c r="A872" t="s">
        <v>9</v>
      </c>
      <c r="B872" t="s">
        <v>1</v>
      </c>
      <c r="C872" t="s">
        <v>14</v>
      </c>
      <c r="D872" t="s">
        <v>3</v>
      </c>
      <c r="E872" t="s">
        <v>4</v>
      </c>
      <c r="F872">
        <v>59</v>
      </c>
      <c r="G872">
        <v>58</v>
      </c>
      <c r="H872">
        <v>47</v>
      </c>
      <c r="I872" s="1">
        <f>AVERAGE(tblStudents[[#This Row],[Math Score]],tblStudents[[#This Row],[Reading Score]],tblStudents[[#This Row],[Writing Score]])</f>
        <v>54.666666666666664</v>
      </c>
      <c r="J872">
        <f>IF(tblStudents[[#This Row],[Average Score]]&gt;=60,1,0)</f>
        <v>0</v>
      </c>
      <c r="K872" t="str">
        <f>IF(tblStudents[[#This Row],[Average Score]]&gt;=60,"Pass","At Risk")</f>
        <v>At Risk</v>
      </c>
      <c r="L872" t="str" cm="1">
        <f t="array" ref="L872">_xlfn.IFS(tblStudents[[#This Row],[Average Score]]&gt;=80,"High",tblStudents[[#This Row],[Average Score]]&gt;=60,"Meets Standard",TRUE,"At Risk")</f>
        <v>At Risk</v>
      </c>
      <c r="M8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873" spans="1:13" x14ac:dyDescent="0.25">
      <c r="A873" t="s">
        <v>0</v>
      </c>
      <c r="B873" t="s">
        <v>5</v>
      </c>
      <c r="C873" t="s">
        <v>6</v>
      </c>
      <c r="D873" t="s">
        <v>3</v>
      </c>
      <c r="E873" t="s">
        <v>7</v>
      </c>
      <c r="F873">
        <v>70</v>
      </c>
      <c r="G873">
        <v>72</v>
      </c>
      <c r="H873">
        <v>76</v>
      </c>
      <c r="I873" s="1">
        <f>AVERAGE(tblStudents[[#This Row],[Math Score]],tblStudents[[#This Row],[Reading Score]],tblStudents[[#This Row],[Writing Score]])</f>
        <v>72.666666666666671</v>
      </c>
      <c r="J873">
        <f>IF(tblStudents[[#This Row],[Average Score]]&gt;=60,1,0)</f>
        <v>1</v>
      </c>
      <c r="K873" t="str">
        <f>IF(tblStudents[[#This Row],[Average Score]]&gt;=60,"Pass","At Risk")</f>
        <v>Pass</v>
      </c>
      <c r="L873" t="str" cm="1">
        <f t="array" ref="L873">_xlfn.IFS(tblStudents[[#This Row],[Average Score]]&gt;=80,"High",tblStudents[[#This Row],[Average Score]]&gt;=60,"Meets Standard",TRUE,"At Risk")</f>
        <v>Meets Standard</v>
      </c>
      <c r="M8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74" spans="1:13" x14ac:dyDescent="0.25">
      <c r="A874" t="s">
        <v>9</v>
      </c>
      <c r="B874" t="s">
        <v>1</v>
      </c>
      <c r="C874" t="s">
        <v>11</v>
      </c>
      <c r="D874" t="s">
        <v>3</v>
      </c>
      <c r="E874" t="s">
        <v>7</v>
      </c>
      <c r="F874">
        <v>82</v>
      </c>
      <c r="G874">
        <v>84</v>
      </c>
      <c r="H874">
        <v>78</v>
      </c>
      <c r="I874" s="1">
        <f>AVERAGE(tblStudents[[#This Row],[Math Score]],tblStudents[[#This Row],[Reading Score]],tblStudents[[#This Row],[Writing Score]])</f>
        <v>81.333333333333329</v>
      </c>
      <c r="J874">
        <f>IF(tblStudents[[#This Row],[Average Score]]&gt;=60,1,0)</f>
        <v>1</v>
      </c>
      <c r="K874" t="str">
        <f>IF(tblStudents[[#This Row],[Average Score]]&gt;=60,"Pass","At Risk")</f>
        <v>Pass</v>
      </c>
      <c r="L874" t="str" cm="1">
        <f t="array" ref="L874">_xlfn.IFS(tblStudents[[#This Row],[Average Score]]&gt;=80,"High",tblStudents[[#This Row],[Average Score]]&gt;=60,"Meets Standard",TRUE,"At Risk")</f>
        <v>High</v>
      </c>
      <c r="M8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75" spans="1:13" x14ac:dyDescent="0.25">
      <c r="A875" t="s">
        <v>9</v>
      </c>
      <c r="B875" t="s">
        <v>16</v>
      </c>
      <c r="C875" t="s">
        <v>11</v>
      </c>
      <c r="D875" t="s">
        <v>12</v>
      </c>
      <c r="E875" t="s">
        <v>4</v>
      </c>
      <c r="F875">
        <v>90</v>
      </c>
      <c r="G875">
        <v>90</v>
      </c>
      <c r="H875">
        <v>82</v>
      </c>
      <c r="I875" s="1">
        <f>AVERAGE(tblStudents[[#This Row],[Math Score]],tblStudents[[#This Row],[Reading Score]],tblStudents[[#This Row],[Writing Score]])</f>
        <v>87.333333333333329</v>
      </c>
      <c r="J875">
        <f>IF(tblStudents[[#This Row],[Average Score]]&gt;=60,1,0)</f>
        <v>1</v>
      </c>
      <c r="K875" t="str">
        <f>IF(tblStudents[[#This Row],[Average Score]]&gt;=60,"Pass","At Risk")</f>
        <v>Pass</v>
      </c>
      <c r="L875" t="str" cm="1">
        <f t="array" ref="L875">_xlfn.IFS(tblStudents[[#This Row],[Average Score]]&gt;=80,"High",tblStudents[[#This Row],[Average Score]]&gt;=60,"Meets Standard",TRUE,"At Risk")</f>
        <v>High</v>
      </c>
      <c r="M8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876" spans="1:13" x14ac:dyDescent="0.25">
      <c r="A876" t="s">
        <v>0</v>
      </c>
      <c r="B876" t="s">
        <v>5</v>
      </c>
      <c r="C876" t="s">
        <v>2</v>
      </c>
      <c r="D876" t="s">
        <v>12</v>
      </c>
      <c r="E876" t="s">
        <v>4</v>
      </c>
      <c r="F876">
        <v>43</v>
      </c>
      <c r="G876">
        <v>62</v>
      </c>
      <c r="H876">
        <v>61</v>
      </c>
      <c r="I876" s="1">
        <f>AVERAGE(tblStudents[[#This Row],[Math Score]],tblStudents[[#This Row],[Reading Score]],tblStudents[[#This Row],[Writing Score]])</f>
        <v>55.333333333333336</v>
      </c>
      <c r="J876">
        <f>IF(tblStudents[[#This Row],[Average Score]]&gt;=60,1,0)</f>
        <v>0</v>
      </c>
      <c r="K876" t="str">
        <f>IF(tblStudents[[#This Row],[Average Score]]&gt;=60,"Pass","At Risk")</f>
        <v>At Risk</v>
      </c>
      <c r="L876" t="str" cm="1">
        <f t="array" ref="L876">_xlfn.IFS(tblStudents[[#This Row],[Average Score]]&gt;=80,"High",tblStudents[[#This Row],[Average Score]]&gt;=60,"Meets Standard",TRUE,"At Risk")</f>
        <v>At Risk</v>
      </c>
      <c r="M8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877" spans="1:13" x14ac:dyDescent="0.25">
      <c r="A877" t="s">
        <v>9</v>
      </c>
      <c r="B877" t="s">
        <v>5</v>
      </c>
      <c r="C877" t="s">
        <v>6</v>
      </c>
      <c r="D877" t="s">
        <v>12</v>
      </c>
      <c r="E877" t="s">
        <v>4</v>
      </c>
      <c r="F877">
        <v>80</v>
      </c>
      <c r="G877">
        <v>64</v>
      </c>
      <c r="H877">
        <v>66</v>
      </c>
      <c r="I877" s="1">
        <f>AVERAGE(tblStudents[[#This Row],[Math Score]],tblStudents[[#This Row],[Reading Score]],tblStudents[[#This Row],[Writing Score]])</f>
        <v>70</v>
      </c>
      <c r="J877">
        <f>IF(tblStudents[[#This Row],[Average Score]]&gt;=60,1,0)</f>
        <v>1</v>
      </c>
      <c r="K877" t="str">
        <f>IF(tblStudents[[#This Row],[Average Score]]&gt;=60,"Pass","At Risk")</f>
        <v>Pass</v>
      </c>
      <c r="L877" t="str" cm="1">
        <f t="array" ref="L877">_xlfn.IFS(tblStudents[[#This Row],[Average Score]]&gt;=80,"High",tblStudents[[#This Row],[Average Score]]&gt;=60,"Meets Standard",TRUE,"At Risk")</f>
        <v>Meets Standard</v>
      </c>
      <c r="M8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878" spans="1:13" x14ac:dyDescent="0.25">
      <c r="A878" t="s">
        <v>9</v>
      </c>
      <c r="B878" t="s">
        <v>13</v>
      </c>
      <c r="C878" t="s">
        <v>6</v>
      </c>
      <c r="D878" t="s">
        <v>3</v>
      </c>
      <c r="E878" t="s">
        <v>4</v>
      </c>
      <c r="F878">
        <v>81</v>
      </c>
      <c r="G878">
        <v>82</v>
      </c>
      <c r="H878">
        <v>84</v>
      </c>
      <c r="I878" s="1">
        <f>AVERAGE(tblStudents[[#This Row],[Math Score]],tblStudents[[#This Row],[Reading Score]],tblStudents[[#This Row],[Writing Score]])</f>
        <v>82.333333333333329</v>
      </c>
      <c r="J878">
        <f>IF(tblStudents[[#This Row],[Average Score]]&gt;=60,1,0)</f>
        <v>1</v>
      </c>
      <c r="K878" t="str">
        <f>IF(tblStudents[[#This Row],[Average Score]]&gt;=60,"Pass","At Risk")</f>
        <v>Pass</v>
      </c>
      <c r="L878" t="str" cm="1">
        <f t="array" ref="L878">_xlfn.IFS(tblStudents[[#This Row],[Average Score]]&gt;=80,"High",tblStudents[[#This Row],[Average Score]]&gt;=60,"Meets Standard",TRUE,"At Risk")</f>
        <v>High</v>
      </c>
      <c r="M8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79" spans="1:13" x14ac:dyDescent="0.25">
      <c r="A879" t="s">
        <v>9</v>
      </c>
      <c r="B879" t="s">
        <v>5</v>
      </c>
      <c r="C879" t="s">
        <v>15</v>
      </c>
      <c r="D879" t="s">
        <v>3</v>
      </c>
      <c r="E879" t="s">
        <v>4</v>
      </c>
      <c r="F879">
        <v>57</v>
      </c>
      <c r="G879">
        <v>61</v>
      </c>
      <c r="H879">
        <v>54</v>
      </c>
      <c r="I879" s="1">
        <f>AVERAGE(tblStudents[[#This Row],[Math Score]],tblStudents[[#This Row],[Reading Score]],tblStudents[[#This Row],[Writing Score]])</f>
        <v>57.333333333333336</v>
      </c>
      <c r="J879">
        <f>IF(tblStudents[[#This Row],[Average Score]]&gt;=60,1,0)</f>
        <v>0</v>
      </c>
      <c r="K879" t="str">
        <f>IF(tblStudents[[#This Row],[Average Score]]&gt;=60,"Pass","At Risk")</f>
        <v>At Risk</v>
      </c>
      <c r="L879" t="str" cm="1">
        <f t="array" ref="L879">_xlfn.IFS(tblStudents[[#This Row],[Average Score]]&gt;=80,"High",tblStudents[[#This Row],[Average Score]]&gt;=60,"Meets Standard",TRUE,"At Risk")</f>
        <v>At Risk</v>
      </c>
      <c r="M8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80" spans="1:13" x14ac:dyDescent="0.25">
      <c r="A880" t="s">
        <v>0</v>
      </c>
      <c r="B880" t="s">
        <v>13</v>
      </c>
      <c r="C880" t="s">
        <v>15</v>
      </c>
      <c r="D880" t="s">
        <v>3</v>
      </c>
      <c r="E880" t="s">
        <v>4</v>
      </c>
      <c r="F880">
        <v>59</v>
      </c>
      <c r="G880">
        <v>72</v>
      </c>
      <c r="H880">
        <v>80</v>
      </c>
      <c r="I880" s="1">
        <f>AVERAGE(tblStudents[[#This Row],[Math Score]],tblStudents[[#This Row],[Reading Score]],tblStudents[[#This Row],[Writing Score]])</f>
        <v>70.333333333333329</v>
      </c>
      <c r="J880">
        <f>IF(tblStudents[[#This Row],[Average Score]]&gt;=60,1,0)</f>
        <v>1</v>
      </c>
      <c r="K880" t="str">
        <f>IF(tblStudents[[#This Row],[Average Score]]&gt;=60,"Pass","At Risk")</f>
        <v>Pass</v>
      </c>
      <c r="L880" t="str" cm="1">
        <f t="array" ref="L880">_xlfn.IFS(tblStudents[[#This Row],[Average Score]]&gt;=80,"High",tblStudents[[#This Row],[Average Score]]&gt;=60,"Meets Standard",TRUE,"At Risk")</f>
        <v>Meets Standard</v>
      </c>
      <c r="M8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881" spans="1:13" x14ac:dyDescent="0.25">
      <c r="A881" t="s">
        <v>0</v>
      </c>
      <c r="B881" t="s">
        <v>13</v>
      </c>
      <c r="C881" t="s">
        <v>11</v>
      </c>
      <c r="D881" t="s">
        <v>3</v>
      </c>
      <c r="E881" t="s">
        <v>4</v>
      </c>
      <c r="F881">
        <v>64</v>
      </c>
      <c r="G881">
        <v>76</v>
      </c>
      <c r="H881">
        <v>74</v>
      </c>
      <c r="I881" s="1">
        <f>AVERAGE(tblStudents[[#This Row],[Math Score]],tblStudents[[#This Row],[Reading Score]],tblStudents[[#This Row],[Writing Score]])</f>
        <v>71.333333333333329</v>
      </c>
      <c r="J881">
        <f>IF(tblStudents[[#This Row],[Average Score]]&gt;=60,1,0)</f>
        <v>1</v>
      </c>
      <c r="K881" t="str">
        <f>IF(tblStudents[[#This Row],[Average Score]]&gt;=60,"Pass","At Risk")</f>
        <v>Pass</v>
      </c>
      <c r="L881" t="str" cm="1">
        <f t="array" ref="L881">_xlfn.IFS(tblStudents[[#This Row],[Average Score]]&gt;=80,"High",tblStudents[[#This Row],[Average Score]]&gt;=60,"Meets Standard",TRUE,"At Risk")</f>
        <v>Meets Standard</v>
      </c>
      <c r="M8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882" spans="1:13" x14ac:dyDescent="0.25">
      <c r="A882" t="s">
        <v>9</v>
      </c>
      <c r="B882" t="s">
        <v>5</v>
      </c>
      <c r="C882" t="s">
        <v>2</v>
      </c>
      <c r="D882" t="s">
        <v>3</v>
      </c>
      <c r="E882" t="s">
        <v>7</v>
      </c>
      <c r="F882">
        <v>63</v>
      </c>
      <c r="G882">
        <v>64</v>
      </c>
      <c r="H882">
        <v>66</v>
      </c>
      <c r="I882" s="1">
        <f>AVERAGE(tblStudents[[#This Row],[Math Score]],tblStudents[[#This Row],[Reading Score]],tblStudents[[#This Row],[Writing Score]])</f>
        <v>64.333333333333329</v>
      </c>
      <c r="J882">
        <f>IF(tblStudents[[#This Row],[Average Score]]&gt;=60,1,0)</f>
        <v>1</v>
      </c>
      <c r="K882" t="str">
        <f>IF(tblStudents[[#This Row],[Average Score]]&gt;=60,"Pass","At Risk")</f>
        <v>Pass</v>
      </c>
      <c r="L882" t="str" cm="1">
        <f t="array" ref="L882">_xlfn.IFS(tblStudents[[#This Row],[Average Score]]&gt;=80,"High",tblStudents[[#This Row],[Average Score]]&gt;=60,"Meets Standard",TRUE,"At Risk")</f>
        <v>Meets Standard</v>
      </c>
      <c r="M8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83" spans="1:13" x14ac:dyDescent="0.25">
      <c r="A883" t="s">
        <v>0</v>
      </c>
      <c r="B883" t="s">
        <v>16</v>
      </c>
      <c r="C883" t="s">
        <v>2</v>
      </c>
      <c r="D883" t="s">
        <v>3</v>
      </c>
      <c r="E883" t="s">
        <v>7</v>
      </c>
      <c r="F883">
        <v>71</v>
      </c>
      <c r="G883">
        <v>70</v>
      </c>
      <c r="H883">
        <v>70</v>
      </c>
      <c r="I883" s="1">
        <f>AVERAGE(tblStudents[[#This Row],[Math Score]],tblStudents[[#This Row],[Reading Score]],tblStudents[[#This Row],[Writing Score]])</f>
        <v>70.333333333333329</v>
      </c>
      <c r="J883">
        <f>IF(tblStudents[[#This Row],[Average Score]]&gt;=60,1,0)</f>
        <v>1</v>
      </c>
      <c r="K883" t="str">
        <f>IF(tblStudents[[#This Row],[Average Score]]&gt;=60,"Pass","At Risk")</f>
        <v>Pass</v>
      </c>
      <c r="L883" t="str" cm="1">
        <f t="array" ref="L883">_xlfn.IFS(tblStudents[[#This Row],[Average Score]]&gt;=80,"High",tblStudents[[#This Row],[Average Score]]&gt;=60,"Meets Standard",TRUE,"At Risk")</f>
        <v>Meets Standard</v>
      </c>
      <c r="M8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884" spans="1:13" x14ac:dyDescent="0.25">
      <c r="A884" t="s">
        <v>0</v>
      </c>
      <c r="B884" t="s">
        <v>1</v>
      </c>
      <c r="C884" t="s">
        <v>14</v>
      </c>
      <c r="D884" t="s">
        <v>12</v>
      </c>
      <c r="E884" t="s">
        <v>4</v>
      </c>
      <c r="F884">
        <v>64</v>
      </c>
      <c r="G884">
        <v>73</v>
      </c>
      <c r="H884">
        <v>71</v>
      </c>
      <c r="I884" s="1">
        <f>AVERAGE(tblStudents[[#This Row],[Math Score]],tblStudents[[#This Row],[Reading Score]],tblStudents[[#This Row],[Writing Score]])</f>
        <v>69.333333333333329</v>
      </c>
      <c r="J884">
        <f>IF(tblStudents[[#This Row],[Average Score]]&gt;=60,1,0)</f>
        <v>1</v>
      </c>
      <c r="K884" t="str">
        <f>IF(tblStudents[[#This Row],[Average Score]]&gt;=60,"Pass","At Risk")</f>
        <v>Pass</v>
      </c>
      <c r="L884" t="str" cm="1">
        <f t="array" ref="L884">_xlfn.IFS(tblStudents[[#This Row],[Average Score]]&gt;=80,"High",tblStudents[[#This Row],[Average Score]]&gt;=60,"Meets Standard",TRUE,"At Risk")</f>
        <v>Meets Standard</v>
      </c>
      <c r="M8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85" spans="1:13" x14ac:dyDescent="0.25">
      <c r="A885" t="s">
        <v>9</v>
      </c>
      <c r="B885" t="s">
        <v>13</v>
      </c>
      <c r="C885" t="s">
        <v>2</v>
      </c>
      <c r="D885" t="s">
        <v>12</v>
      </c>
      <c r="E885" t="s">
        <v>4</v>
      </c>
      <c r="F885">
        <v>55</v>
      </c>
      <c r="G885">
        <v>46</v>
      </c>
      <c r="H885">
        <v>44</v>
      </c>
      <c r="I885" s="1">
        <f>AVERAGE(tblStudents[[#This Row],[Math Score]],tblStudents[[#This Row],[Reading Score]],tblStudents[[#This Row],[Writing Score]])</f>
        <v>48.333333333333336</v>
      </c>
      <c r="J885">
        <f>IF(tblStudents[[#This Row],[Average Score]]&gt;=60,1,0)</f>
        <v>0</v>
      </c>
      <c r="K885" t="str">
        <f>IF(tblStudents[[#This Row],[Average Score]]&gt;=60,"Pass","At Risk")</f>
        <v>At Risk</v>
      </c>
      <c r="L885" t="str" cm="1">
        <f t="array" ref="L885">_xlfn.IFS(tblStudents[[#This Row],[Average Score]]&gt;=80,"High",tblStudents[[#This Row],[Average Score]]&gt;=60,"Meets Standard",TRUE,"At Risk")</f>
        <v>At Risk</v>
      </c>
      <c r="M8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886" spans="1:13" x14ac:dyDescent="0.25">
      <c r="A886" t="s">
        <v>0</v>
      </c>
      <c r="B886" t="s">
        <v>16</v>
      </c>
      <c r="C886" t="s">
        <v>11</v>
      </c>
      <c r="D886" t="s">
        <v>3</v>
      </c>
      <c r="E886" t="s">
        <v>4</v>
      </c>
      <c r="F886">
        <v>51</v>
      </c>
      <c r="G886">
        <v>51</v>
      </c>
      <c r="H886">
        <v>54</v>
      </c>
      <c r="I886" s="1">
        <f>AVERAGE(tblStudents[[#This Row],[Math Score]],tblStudents[[#This Row],[Reading Score]],tblStudents[[#This Row],[Writing Score]])</f>
        <v>52</v>
      </c>
      <c r="J886">
        <f>IF(tblStudents[[#This Row],[Average Score]]&gt;=60,1,0)</f>
        <v>0</v>
      </c>
      <c r="K886" t="str">
        <f>IF(tblStudents[[#This Row],[Average Score]]&gt;=60,"Pass","At Risk")</f>
        <v>At Risk</v>
      </c>
      <c r="L886" t="str" cm="1">
        <f t="array" ref="L886">_xlfn.IFS(tblStudents[[#This Row],[Average Score]]&gt;=80,"High",tblStudents[[#This Row],[Average Score]]&gt;=60,"Meets Standard",TRUE,"At Risk")</f>
        <v>At Risk</v>
      </c>
      <c r="M8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887" spans="1:13" x14ac:dyDescent="0.25">
      <c r="A887" t="s">
        <v>0</v>
      </c>
      <c r="B887" t="s">
        <v>5</v>
      </c>
      <c r="C887" t="s">
        <v>11</v>
      </c>
      <c r="D887" t="s">
        <v>3</v>
      </c>
      <c r="E887" t="s">
        <v>7</v>
      </c>
      <c r="F887">
        <v>62</v>
      </c>
      <c r="G887">
        <v>76</v>
      </c>
      <c r="H887">
        <v>80</v>
      </c>
      <c r="I887" s="1">
        <f>AVERAGE(tblStudents[[#This Row],[Math Score]],tblStudents[[#This Row],[Reading Score]],tblStudents[[#This Row],[Writing Score]])</f>
        <v>72.666666666666671</v>
      </c>
      <c r="J887">
        <f>IF(tblStudents[[#This Row],[Average Score]]&gt;=60,1,0)</f>
        <v>1</v>
      </c>
      <c r="K887" t="str">
        <f>IF(tblStudents[[#This Row],[Average Score]]&gt;=60,"Pass","At Risk")</f>
        <v>Pass</v>
      </c>
      <c r="L887" t="str" cm="1">
        <f t="array" ref="L887">_xlfn.IFS(tblStudents[[#This Row],[Average Score]]&gt;=80,"High",tblStudents[[#This Row],[Average Score]]&gt;=60,"Meets Standard",TRUE,"At Risk")</f>
        <v>Meets Standard</v>
      </c>
      <c r="M8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888" spans="1:13" x14ac:dyDescent="0.25">
      <c r="A888" t="s">
        <v>0</v>
      </c>
      <c r="B888" t="s">
        <v>16</v>
      </c>
      <c r="C888" t="s">
        <v>11</v>
      </c>
      <c r="D888" t="s">
        <v>3</v>
      </c>
      <c r="E888" t="s">
        <v>7</v>
      </c>
      <c r="F888">
        <v>93</v>
      </c>
      <c r="G888">
        <v>100</v>
      </c>
      <c r="H888">
        <v>95</v>
      </c>
      <c r="I888" s="1">
        <f>AVERAGE(tblStudents[[#This Row],[Math Score]],tblStudents[[#This Row],[Reading Score]],tblStudents[[#This Row],[Writing Score]])</f>
        <v>96</v>
      </c>
      <c r="J888">
        <f>IF(tblStudents[[#This Row],[Average Score]]&gt;=60,1,0)</f>
        <v>1</v>
      </c>
      <c r="K888" t="str">
        <f>IF(tblStudents[[#This Row],[Average Score]]&gt;=60,"Pass","At Risk")</f>
        <v>Pass</v>
      </c>
      <c r="L888" t="str" cm="1">
        <f t="array" ref="L888">_xlfn.IFS(tblStudents[[#This Row],[Average Score]]&gt;=80,"High",tblStudents[[#This Row],[Average Score]]&gt;=60,"Meets Standard",TRUE,"At Risk")</f>
        <v>High</v>
      </c>
      <c r="M8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89" spans="1:13" x14ac:dyDescent="0.25">
      <c r="A889" t="s">
        <v>9</v>
      </c>
      <c r="B889" t="s">
        <v>5</v>
      </c>
      <c r="C889" t="s">
        <v>14</v>
      </c>
      <c r="D889" t="s">
        <v>12</v>
      </c>
      <c r="E889" t="s">
        <v>4</v>
      </c>
      <c r="F889">
        <v>54</v>
      </c>
      <c r="G889">
        <v>72</v>
      </c>
      <c r="H889">
        <v>59</v>
      </c>
      <c r="I889" s="1">
        <f>AVERAGE(tblStudents[[#This Row],[Math Score]],tblStudents[[#This Row],[Reading Score]],tblStudents[[#This Row],[Writing Score]])</f>
        <v>61.666666666666664</v>
      </c>
      <c r="J889">
        <f>IF(tblStudents[[#This Row],[Average Score]]&gt;=60,1,0)</f>
        <v>1</v>
      </c>
      <c r="K889" t="str">
        <f>IF(tblStudents[[#This Row],[Average Score]]&gt;=60,"Pass","At Risk")</f>
        <v>Pass</v>
      </c>
      <c r="L889" t="str" cm="1">
        <f t="array" ref="L889">_xlfn.IFS(tblStudents[[#This Row],[Average Score]]&gt;=80,"High",tblStudents[[#This Row],[Average Score]]&gt;=60,"Meets Standard",TRUE,"At Risk")</f>
        <v>Meets Standard</v>
      </c>
      <c r="M8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890" spans="1:13" x14ac:dyDescent="0.25">
      <c r="A890" t="s">
        <v>0</v>
      </c>
      <c r="B890" t="s">
        <v>13</v>
      </c>
      <c r="C890" t="s">
        <v>6</v>
      </c>
      <c r="D890" t="s">
        <v>12</v>
      </c>
      <c r="E890" t="s">
        <v>4</v>
      </c>
      <c r="F890">
        <v>69</v>
      </c>
      <c r="G890">
        <v>65</v>
      </c>
      <c r="H890">
        <v>74</v>
      </c>
      <c r="I890" s="1">
        <f>AVERAGE(tblStudents[[#This Row],[Math Score]],tblStudents[[#This Row],[Reading Score]],tblStudents[[#This Row],[Writing Score]])</f>
        <v>69.333333333333329</v>
      </c>
      <c r="J890">
        <f>IF(tblStudents[[#This Row],[Average Score]]&gt;=60,1,0)</f>
        <v>1</v>
      </c>
      <c r="K890" t="str">
        <f>IF(tblStudents[[#This Row],[Average Score]]&gt;=60,"Pass","At Risk")</f>
        <v>Pass</v>
      </c>
      <c r="L890" t="str" cm="1">
        <f t="array" ref="L890">_xlfn.IFS(tblStudents[[#This Row],[Average Score]]&gt;=80,"High",tblStudents[[#This Row],[Average Score]]&gt;=60,"Meets Standard",TRUE,"At Risk")</f>
        <v>Meets Standard</v>
      </c>
      <c r="M8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91" spans="1:13" x14ac:dyDescent="0.25">
      <c r="A891" t="s">
        <v>9</v>
      </c>
      <c r="B891" t="s">
        <v>13</v>
      </c>
      <c r="C891" t="s">
        <v>14</v>
      </c>
      <c r="D891" t="s">
        <v>12</v>
      </c>
      <c r="E891" t="s">
        <v>4</v>
      </c>
      <c r="F891">
        <v>44</v>
      </c>
      <c r="G891">
        <v>51</v>
      </c>
      <c r="H891">
        <v>48</v>
      </c>
      <c r="I891" s="1">
        <f>AVERAGE(tblStudents[[#This Row],[Math Score]],tblStudents[[#This Row],[Reading Score]],tblStudents[[#This Row],[Writing Score]])</f>
        <v>47.666666666666664</v>
      </c>
      <c r="J891">
        <f>IF(tblStudents[[#This Row],[Average Score]]&gt;=60,1,0)</f>
        <v>0</v>
      </c>
      <c r="K891" t="str">
        <f>IF(tblStudents[[#This Row],[Average Score]]&gt;=60,"Pass","At Risk")</f>
        <v>At Risk</v>
      </c>
      <c r="L891" t="str" cm="1">
        <f t="array" ref="L891">_xlfn.IFS(tblStudents[[#This Row],[Average Score]]&gt;=80,"High",tblStudents[[#This Row],[Average Score]]&gt;=60,"Meets Standard",TRUE,"At Risk")</f>
        <v>At Risk</v>
      </c>
      <c r="M8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92" spans="1:13" x14ac:dyDescent="0.25">
      <c r="A892" t="s">
        <v>0</v>
      </c>
      <c r="B892" t="s">
        <v>16</v>
      </c>
      <c r="C892" t="s">
        <v>6</v>
      </c>
      <c r="D892" t="s">
        <v>3</v>
      </c>
      <c r="E892" t="s">
        <v>7</v>
      </c>
      <c r="F892">
        <v>86</v>
      </c>
      <c r="G892">
        <v>85</v>
      </c>
      <c r="H892">
        <v>91</v>
      </c>
      <c r="I892" s="1">
        <f>AVERAGE(tblStudents[[#This Row],[Math Score]],tblStudents[[#This Row],[Reading Score]],tblStudents[[#This Row],[Writing Score]])</f>
        <v>87.333333333333329</v>
      </c>
      <c r="J892">
        <f>IF(tblStudents[[#This Row],[Average Score]]&gt;=60,1,0)</f>
        <v>1</v>
      </c>
      <c r="K892" t="str">
        <f>IF(tblStudents[[#This Row],[Average Score]]&gt;=60,"Pass","At Risk")</f>
        <v>Pass</v>
      </c>
      <c r="L892" t="str" cm="1">
        <f t="array" ref="L892">_xlfn.IFS(tblStudents[[#This Row],[Average Score]]&gt;=80,"High",tblStudents[[#This Row],[Average Score]]&gt;=60,"Meets Standard",TRUE,"At Risk")</f>
        <v>High</v>
      </c>
      <c r="M8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93" spans="1:13" x14ac:dyDescent="0.25">
      <c r="A893" t="s">
        <v>0</v>
      </c>
      <c r="B893" t="s">
        <v>16</v>
      </c>
      <c r="C893" t="s">
        <v>11</v>
      </c>
      <c r="D893" t="s">
        <v>3</v>
      </c>
      <c r="E893" t="s">
        <v>4</v>
      </c>
      <c r="F893">
        <v>85</v>
      </c>
      <c r="G893">
        <v>92</v>
      </c>
      <c r="H893">
        <v>85</v>
      </c>
      <c r="I893" s="1">
        <f>AVERAGE(tblStudents[[#This Row],[Math Score]],tblStudents[[#This Row],[Reading Score]],tblStudents[[#This Row],[Writing Score]])</f>
        <v>87.333333333333329</v>
      </c>
      <c r="J893">
        <f>IF(tblStudents[[#This Row],[Average Score]]&gt;=60,1,0)</f>
        <v>1</v>
      </c>
      <c r="K893" t="str">
        <f>IF(tblStudents[[#This Row],[Average Score]]&gt;=60,"Pass","At Risk")</f>
        <v>Pass</v>
      </c>
      <c r="L893" t="str" cm="1">
        <f t="array" ref="L893">_xlfn.IFS(tblStudents[[#This Row],[Average Score]]&gt;=80,"High",tblStudents[[#This Row],[Average Score]]&gt;=60,"Meets Standard",TRUE,"At Risk")</f>
        <v>High</v>
      </c>
      <c r="M8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894" spans="1:13" x14ac:dyDescent="0.25">
      <c r="A894" t="s">
        <v>0</v>
      </c>
      <c r="B894" t="s">
        <v>10</v>
      </c>
      <c r="C894" t="s">
        <v>8</v>
      </c>
      <c r="D894" t="s">
        <v>12</v>
      </c>
      <c r="E894" t="s">
        <v>4</v>
      </c>
      <c r="F894">
        <v>50</v>
      </c>
      <c r="G894">
        <v>67</v>
      </c>
      <c r="H894">
        <v>73</v>
      </c>
      <c r="I894" s="1">
        <f>AVERAGE(tblStudents[[#This Row],[Math Score]],tblStudents[[#This Row],[Reading Score]],tblStudents[[#This Row],[Writing Score]])</f>
        <v>63.333333333333336</v>
      </c>
      <c r="J894">
        <f>IF(tblStudents[[#This Row],[Average Score]]&gt;=60,1,0)</f>
        <v>1</v>
      </c>
      <c r="K894" t="str">
        <f>IF(tblStudents[[#This Row],[Average Score]]&gt;=60,"Pass","At Risk")</f>
        <v>Pass</v>
      </c>
      <c r="L894" t="str" cm="1">
        <f t="array" ref="L894">_xlfn.IFS(tblStudents[[#This Row],[Average Score]]&gt;=80,"High",tblStudents[[#This Row],[Average Score]]&gt;=60,"Meets Standard",TRUE,"At Risk")</f>
        <v>Meets Standard</v>
      </c>
      <c r="M8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23</v>
      </c>
    </row>
    <row r="895" spans="1:13" x14ac:dyDescent="0.25">
      <c r="A895" t="s">
        <v>9</v>
      </c>
      <c r="B895" t="s">
        <v>13</v>
      </c>
      <c r="C895" t="s">
        <v>15</v>
      </c>
      <c r="D895" t="s">
        <v>3</v>
      </c>
      <c r="E895" t="s">
        <v>7</v>
      </c>
      <c r="F895">
        <v>88</v>
      </c>
      <c r="G895">
        <v>74</v>
      </c>
      <c r="H895">
        <v>75</v>
      </c>
      <c r="I895" s="1">
        <f>AVERAGE(tblStudents[[#This Row],[Math Score]],tblStudents[[#This Row],[Reading Score]],tblStudents[[#This Row],[Writing Score]])</f>
        <v>79</v>
      </c>
      <c r="J895">
        <f>IF(tblStudents[[#This Row],[Average Score]]&gt;=60,1,0)</f>
        <v>1</v>
      </c>
      <c r="K895" t="str">
        <f>IF(tblStudents[[#This Row],[Average Score]]&gt;=60,"Pass","At Risk")</f>
        <v>Pass</v>
      </c>
      <c r="L895" t="str" cm="1">
        <f t="array" ref="L895">_xlfn.IFS(tblStudents[[#This Row],[Average Score]]&gt;=80,"High",tblStudents[[#This Row],[Average Score]]&gt;=60,"Meets Standard",TRUE,"At Risk")</f>
        <v>Meets Standard</v>
      </c>
      <c r="M8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896" spans="1:13" x14ac:dyDescent="0.25">
      <c r="A896" t="s">
        <v>0</v>
      </c>
      <c r="B896" t="s">
        <v>16</v>
      </c>
      <c r="C896" t="s">
        <v>11</v>
      </c>
      <c r="D896" t="s">
        <v>3</v>
      </c>
      <c r="E896" t="s">
        <v>4</v>
      </c>
      <c r="F896">
        <v>59</v>
      </c>
      <c r="G896">
        <v>62</v>
      </c>
      <c r="H896">
        <v>69</v>
      </c>
      <c r="I896" s="1">
        <f>AVERAGE(tblStudents[[#This Row],[Math Score]],tblStudents[[#This Row],[Reading Score]],tblStudents[[#This Row],[Writing Score]])</f>
        <v>63.333333333333336</v>
      </c>
      <c r="J896">
        <f>IF(tblStudents[[#This Row],[Average Score]]&gt;=60,1,0)</f>
        <v>1</v>
      </c>
      <c r="K896" t="str">
        <f>IF(tblStudents[[#This Row],[Average Score]]&gt;=60,"Pass","At Risk")</f>
        <v>Pass</v>
      </c>
      <c r="L896" t="str" cm="1">
        <f t="array" ref="L896">_xlfn.IFS(tblStudents[[#This Row],[Average Score]]&gt;=80,"High",tblStudents[[#This Row],[Average Score]]&gt;=60,"Meets Standard",TRUE,"At Risk")</f>
        <v>Meets Standard</v>
      </c>
      <c r="M8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897" spans="1:13" x14ac:dyDescent="0.25">
      <c r="A897" t="s">
        <v>0</v>
      </c>
      <c r="B897" t="s">
        <v>16</v>
      </c>
      <c r="C897" t="s">
        <v>15</v>
      </c>
      <c r="D897" t="s">
        <v>12</v>
      </c>
      <c r="E897" t="s">
        <v>4</v>
      </c>
      <c r="F897">
        <v>32</v>
      </c>
      <c r="G897">
        <v>34</v>
      </c>
      <c r="H897">
        <v>38</v>
      </c>
      <c r="I897" s="1">
        <f>AVERAGE(tblStudents[[#This Row],[Math Score]],tblStudents[[#This Row],[Reading Score]],tblStudents[[#This Row],[Writing Score]])</f>
        <v>34.666666666666664</v>
      </c>
      <c r="J897">
        <f>IF(tblStudents[[#This Row],[Average Score]]&gt;=60,1,0)</f>
        <v>0</v>
      </c>
      <c r="K897" t="str">
        <f>IF(tblStudents[[#This Row],[Average Score]]&gt;=60,"Pass","At Risk")</f>
        <v>At Risk</v>
      </c>
      <c r="L897" t="str" cm="1">
        <f t="array" ref="L897">_xlfn.IFS(tblStudents[[#This Row],[Average Score]]&gt;=80,"High",tblStudents[[#This Row],[Average Score]]&gt;=60,"Meets Standard",TRUE,"At Risk")</f>
        <v>At Risk</v>
      </c>
      <c r="M8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898" spans="1:13" x14ac:dyDescent="0.25">
      <c r="A898" t="s">
        <v>9</v>
      </c>
      <c r="B898" t="s">
        <v>1</v>
      </c>
      <c r="C898" t="s">
        <v>14</v>
      </c>
      <c r="D898" t="s">
        <v>12</v>
      </c>
      <c r="E898" t="s">
        <v>4</v>
      </c>
      <c r="F898">
        <v>36</v>
      </c>
      <c r="G898">
        <v>29</v>
      </c>
      <c r="H898">
        <v>27</v>
      </c>
      <c r="I898" s="1">
        <f>AVERAGE(tblStudents[[#This Row],[Math Score]],tblStudents[[#This Row],[Reading Score]],tblStudents[[#This Row],[Writing Score]])</f>
        <v>30.666666666666668</v>
      </c>
      <c r="J898">
        <f>IF(tblStudents[[#This Row],[Average Score]]&gt;=60,1,0)</f>
        <v>0</v>
      </c>
      <c r="K898" t="str">
        <f>IF(tblStudents[[#This Row],[Average Score]]&gt;=60,"Pass","At Risk")</f>
        <v>At Risk</v>
      </c>
      <c r="L898" t="str" cm="1">
        <f t="array" ref="L898">_xlfn.IFS(tblStudents[[#This Row],[Average Score]]&gt;=80,"High",tblStudents[[#This Row],[Average Score]]&gt;=60,"Meets Standard",TRUE,"At Risk")</f>
        <v>At Risk</v>
      </c>
      <c r="M8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899" spans="1:13" x14ac:dyDescent="0.25">
      <c r="A899" t="s">
        <v>0</v>
      </c>
      <c r="B899" t="s">
        <v>1</v>
      </c>
      <c r="C899" t="s">
        <v>15</v>
      </c>
      <c r="D899" t="s">
        <v>12</v>
      </c>
      <c r="E899" t="s">
        <v>7</v>
      </c>
      <c r="F899">
        <v>63</v>
      </c>
      <c r="G899">
        <v>78</v>
      </c>
      <c r="H899">
        <v>79</v>
      </c>
      <c r="I899" s="1">
        <f>AVERAGE(tblStudents[[#This Row],[Math Score]],tblStudents[[#This Row],[Reading Score]],tblStudents[[#This Row],[Writing Score]])</f>
        <v>73.333333333333329</v>
      </c>
      <c r="J899">
        <f>IF(tblStudents[[#This Row],[Average Score]]&gt;=60,1,0)</f>
        <v>1</v>
      </c>
      <c r="K899" t="str">
        <f>IF(tblStudents[[#This Row],[Average Score]]&gt;=60,"Pass","At Risk")</f>
        <v>Pass</v>
      </c>
      <c r="L899" t="str" cm="1">
        <f t="array" ref="L899">_xlfn.IFS(tblStudents[[#This Row],[Average Score]]&gt;=80,"High",tblStudents[[#This Row],[Average Score]]&gt;=60,"Meets Standard",TRUE,"At Risk")</f>
        <v>Meets Standard</v>
      </c>
      <c r="M8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900" spans="1:13" x14ac:dyDescent="0.25">
      <c r="A900" t="s">
        <v>9</v>
      </c>
      <c r="B900" t="s">
        <v>13</v>
      </c>
      <c r="C900" t="s">
        <v>11</v>
      </c>
      <c r="D900" t="s">
        <v>3</v>
      </c>
      <c r="E900" t="s">
        <v>7</v>
      </c>
      <c r="F900">
        <v>67</v>
      </c>
      <c r="G900">
        <v>54</v>
      </c>
      <c r="H900">
        <v>63</v>
      </c>
      <c r="I900" s="1">
        <f>AVERAGE(tblStudents[[#This Row],[Math Score]],tblStudents[[#This Row],[Reading Score]],tblStudents[[#This Row],[Writing Score]])</f>
        <v>61.333333333333336</v>
      </c>
      <c r="J900">
        <f>IF(tblStudents[[#This Row],[Average Score]]&gt;=60,1,0)</f>
        <v>1</v>
      </c>
      <c r="K900" t="str">
        <f>IF(tblStudents[[#This Row],[Average Score]]&gt;=60,"Pass","At Risk")</f>
        <v>Pass</v>
      </c>
      <c r="L900" t="str" cm="1">
        <f t="array" ref="L900">_xlfn.IFS(tblStudents[[#This Row],[Average Score]]&gt;=80,"High",tblStudents[[#This Row],[Average Score]]&gt;=60,"Meets Standard",TRUE,"At Risk")</f>
        <v>Meets Standard</v>
      </c>
      <c r="M9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901" spans="1:13" x14ac:dyDescent="0.25">
      <c r="A901" t="s">
        <v>0</v>
      </c>
      <c r="B901" t="s">
        <v>13</v>
      </c>
      <c r="C901" t="s">
        <v>15</v>
      </c>
      <c r="D901" t="s">
        <v>3</v>
      </c>
      <c r="E901" t="s">
        <v>7</v>
      </c>
      <c r="F901">
        <v>65</v>
      </c>
      <c r="G901">
        <v>78</v>
      </c>
      <c r="H901">
        <v>82</v>
      </c>
      <c r="I901" s="1">
        <f>AVERAGE(tblStudents[[#This Row],[Math Score]],tblStudents[[#This Row],[Reading Score]],tblStudents[[#This Row],[Writing Score]])</f>
        <v>75</v>
      </c>
      <c r="J901">
        <f>IF(tblStudents[[#This Row],[Average Score]]&gt;=60,1,0)</f>
        <v>1</v>
      </c>
      <c r="K901" t="str">
        <f>IF(tblStudents[[#This Row],[Average Score]]&gt;=60,"Pass","At Risk")</f>
        <v>Pass</v>
      </c>
      <c r="L901" t="str" cm="1">
        <f t="array" ref="L901">_xlfn.IFS(tblStudents[[#This Row],[Average Score]]&gt;=80,"High",tblStudents[[#This Row],[Average Score]]&gt;=60,"Meets Standard",TRUE,"At Risk")</f>
        <v>Meets Standard</v>
      </c>
      <c r="M9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902" spans="1:13" x14ac:dyDescent="0.25">
      <c r="A902" t="s">
        <v>9</v>
      </c>
      <c r="B902" t="s">
        <v>13</v>
      </c>
      <c r="C902" t="s">
        <v>8</v>
      </c>
      <c r="D902" t="s">
        <v>3</v>
      </c>
      <c r="E902" t="s">
        <v>4</v>
      </c>
      <c r="F902">
        <v>85</v>
      </c>
      <c r="G902">
        <v>84</v>
      </c>
      <c r="H902">
        <v>89</v>
      </c>
      <c r="I902" s="1">
        <f>AVERAGE(tblStudents[[#This Row],[Math Score]],tblStudents[[#This Row],[Reading Score]],tblStudents[[#This Row],[Writing Score]])</f>
        <v>86</v>
      </c>
      <c r="J902">
        <f>IF(tblStudents[[#This Row],[Average Score]]&gt;=60,1,0)</f>
        <v>1</v>
      </c>
      <c r="K902" t="str">
        <f>IF(tblStudents[[#This Row],[Average Score]]&gt;=60,"Pass","At Risk")</f>
        <v>Pass</v>
      </c>
      <c r="L902" t="str" cm="1">
        <f t="array" ref="L902">_xlfn.IFS(tblStudents[[#This Row],[Average Score]]&gt;=80,"High",tblStudents[[#This Row],[Average Score]]&gt;=60,"Meets Standard",TRUE,"At Risk")</f>
        <v>High</v>
      </c>
      <c r="M90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903" spans="1:13" x14ac:dyDescent="0.25">
      <c r="A903" t="s">
        <v>0</v>
      </c>
      <c r="B903" t="s">
        <v>5</v>
      </c>
      <c r="C903" t="s">
        <v>8</v>
      </c>
      <c r="D903" t="s">
        <v>3</v>
      </c>
      <c r="E903" t="s">
        <v>4</v>
      </c>
      <c r="F903">
        <v>73</v>
      </c>
      <c r="G903">
        <v>78</v>
      </c>
      <c r="H903">
        <v>74</v>
      </c>
      <c r="I903" s="1">
        <f>AVERAGE(tblStudents[[#This Row],[Math Score]],tblStudents[[#This Row],[Reading Score]],tblStudents[[#This Row],[Writing Score]])</f>
        <v>75</v>
      </c>
      <c r="J903">
        <f>IF(tblStudents[[#This Row],[Average Score]]&gt;=60,1,0)</f>
        <v>1</v>
      </c>
      <c r="K903" t="str">
        <f>IF(tblStudents[[#This Row],[Average Score]]&gt;=60,"Pass","At Risk")</f>
        <v>Pass</v>
      </c>
      <c r="L903" t="str" cm="1">
        <f t="array" ref="L903">_xlfn.IFS(tblStudents[[#This Row],[Average Score]]&gt;=80,"High",tblStudents[[#This Row],[Average Score]]&gt;=60,"Meets Standard",TRUE,"At Risk")</f>
        <v>Meets Standard</v>
      </c>
      <c r="M90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904" spans="1:13" x14ac:dyDescent="0.25">
      <c r="A904" t="s">
        <v>0</v>
      </c>
      <c r="B904" t="s">
        <v>10</v>
      </c>
      <c r="C904" t="s">
        <v>14</v>
      </c>
      <c r="D904" t="s">
        <v>12</v>
      </c>
      <c r="E904" t="s">
        <v>7</v>
      </c>
      <c r="F904">
        <v>34</v>
      </c>
      <c r="G904">
        <v>48</v>
      </c>
      <c r="H904">
        <v>41</v>
      </c>
      <c r="I904" s="1">
        <f>AVERAGE(tblStudents[[#This Row],[Math Score]],tblStudents[[#This Row],[Reading Score]],tblStudents[[#This Row],[Writing Score]])</f>
        <v>41</v>
      </c>
      <c r="J904">
        <f>IF(tblStudents[[#This Row],[Average Score]]&gt;=60,1,0)</f>
        <v>0</v>
      </c>
      <c r="K904" t="str">
        <f>IF(tblStudents[[#This Row],[Average Score]]&gt;=60,"Pass","At Risk")</f>
        <v>At Risk</v>
      </c>
      <c r="L904" t="str" cm="1">
        <f t="array" ref="L904">_xlfn.IFS(tblStudents[[#This Row],[Average Score]]&gt;=80,"High",tblStudents[[#This Row],[Average Score]]&gt;=60,"Meets Standard",TRUE,"At Risk")</f>
        <v>At Risk</v>
      </c>
      <c r="M90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905" spans="1:13" x14ac:dyDescent="0.25">
      <c r="A905" t="s">
        <v>0</v>
      </c>
      <c r="B905" t="s">
        <v>13</v>
      </c>
      <c r="C905" t="s">
        <v>2</v>
      </c>
      <c r="D905" t="s">
        <v>12</v>
      </c>
      <c r="E905" t="s">
        <v>7</v>
      </c>
      <c r="F905">
        <v>93</v>
      </c>
      <c r="G905">
        <v>100</v>
      </c>
      <c r="H905">
        <v>100</v>
      </c>
      <c r="I905" s="1">
        <f>AVERAGE(tblStudents[[#This Row],[Math Score]],tblStudents[[#This Row],[Reading Score]],tblStudents[[#This Row],[Writing Score]])</f>
        <v>97.666666666666671</v>
      </c>
      <c r="J905">
        <f>IF(tblStudents[[#This Row],[Average Score]]&gt;=60,1,0)</f>
        <v>1</v>
      </c>
      <c r="K905" t="str">
        <f>IF(tblStudents[[#This Row],[Average Score]]&gt;=60,"Pass","At Risk")</f>
        <v>Pass</v>
      </c>
      <c r="L905" t="str" cm="1">
        <f t="array" ref="L905">_xlfn.IFS(tblStudents[[#This Row],[Average Score]]&gt;=80,"High",tblStudents[[#This Row],[Average Score]]&gt;=60,"Meets Standard",TRUE,"At Risk")</f>
        <v>High</v>
      </c>
      <c r="M90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06" spans="1:13" x14ac:dyDescent="0.25">
      <c r="A906" t="s">
        <v>0</v>
      </c>
      <c r="B906" t="s">
        <v>13</v>
      </c>
      <c r="C906" t="s">
        <v>15</v>
      </c>
      <c r="D906" t="s">
        <v>12</v>
      </c>
      <c r="E906" t="s">
        <v>4</v>
      </c>
      <c r="F906">
        <v>67</v>
      </c>
      <c r="G906">
        <v>84</v>
      </c>
      <c r="H906">
        <v>84</v>
      </c>
      <c r="I906" s="1">
        <f>AVERAGE(tblStudents[[#This Row],[Math Score]],tblStudents[[#This Row],[Reading Score]],tblStudents[[#This Row],[Writing Score]])</f>
        <v>78.333333333333329</v>
      </c>
      <c r="J906">
        <f>IF(tblStudents[[#This Row],[Average Score]]&gt;=60,1,0)</f>
        <v>1</v>
      </c>
      <c r="K906" t="str">
        <f>IF(tblStudents[[#This Row],[Average Score]]&gt;=60,"Pass","At Risk")</f>
        <v>Pass</v>
      </c>
      <c r="L906" t="str" cm="1">
        <f t="array" ref="L906">_xlfn.IFS(tblStudents[[#This Row],[Average Score]]&gt;=80,"High",tblStudents[[#This Row],[Average Score]]&gt;=60,"Meets Standard",TRUE,"At Risk")</f>
        <v>Meets Standard</v>
      </c>
      <c r="M90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907" spans="1:13" x14ac:dyDescent="0.25">
      <c r="A907" t="s">
        <v>9</v>
      </c>
      <c r="B907" t="s">
        <v>13</v>
      </c>
      <c r="C907" t="s">
        <v>6</v>
      </c>
      <c r="D907" t="s">
        <v>3</v>
      </c>
      <c r="E907" t="s">
        <v>4</v>
      </c>
      <c r="F907">
        <v>88</v>
      </c>
      <c r="G907">
        <v>77</v>
      </c>
      <c r="H907">
        <v>77</v>
      </c>
      <c r="I907" s="1">
        <f>AVERAGE(tblStudents[[#This Row],[Math Score]],tblStudents[[#This Row],[Reading Score]],tblStudents[[#This Row],[Writing Score]])</f>
        <v>80.666666666666671</v>
      </c>
      <c r="J907">
        <f>IF(tblStudents[[#This Row],[Average Score]]&gt;=60,1,0)</f>
        <v>1</v>
      </c>
      <c r="K907" t="str">
        <f>IF(tblStudents[[#This Row],[Average Score]]&gt;=60,"Pass","At Risk")</f>
        <v>Pass</v>
      </c>
      <c r="L907" t="str" cm="1">
        <f t="array" ref="L907">_xlfn.IFS(tblStudents[[#This Row],[Average Score]]&gt;=80,"High",tblStudents[[#This Row],[Average Score]]&gt;=60,"Meets Standard",TRUE,"At Risk")</f>
        <v>High</v>
      </c>
      <c r="M90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08" spans="1:13" x14ac:dyDescent="0.25">
      <c r="A908" t="s">
        <v>9</v>
      </c>
      <c r="B908" t="s">
        <v>1</v>
      </c>
      <c r="C908" t="s">
        <v>14</v>
      </c>
      <c r="D908" t="s">
        <v>3</v>
      </c>
      <c r="E908" t="s">
        <v>4</v>
      </c>
      <c r="F908">
        <v>57</v>
      </c>
      <c r="G908">
        <v>48</v>
      </c>
      <c r="H908">
        <v>51</v>
      </c>
      <c r="I908" s="1">
        <f>AVERAGE(tblStudents[[#This Row],[Math Score]],tblStudents[[#This Row],[Reading Score]],tblStudents[[#This Row],[Writing Score]])</f>
        <v>52</v>
      </c>
      <c r="J908">
        <f>IF(tblStudents[[#This Row],[Average Score]]&gt;=60,1,0)</f>
        <v>0</v>
      </c>
      <c r="K908" t="str">
        <f>IF(tblStudents[[#This Row],[Average Score]]&gt;=60,"Pass","At Risk")</f>
        <v>At Risk</v>
      </c>
      <c r="L908" t="str" cm="1">
        <f t="array" ref="L908">_xlfn.IFS(tblStudents[[#This Row],[Average Score]]&gt;=80,"High",tblStudents[[#This Row],[Average Score]]&gt;=60,"Meets Standard",TRUE,"At Risk")</f>
        <v>At Risk</v>
      </c>
      <c r="M90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09" spans="1:13" x14ac:dyDescent="0.25">
      <c r="A909" t="s">
        <v>0</v>
      </c>
      <c r="B909" t="s">
        <v>13</v>
      </c>
      <c r="C909" t="s">
        <v>6</v>
      </c>
      <c r="D909" t="s">
        <v>3</v>
      </c>
      <c r="E909" t="s">
        <v>7</v>
      </c>
      <c r="F909">
        <v>79</v>
      </c>
      <c r="G909">
        <v>84</v>
      </c>
      <c r="H909">
        <v>91</v>
      </c>
      <c r="I909" s="1">
        <f>AVERAGE(tblStudents[[#This Row],[Math Score]],tblStudents[[#This Row],[Reading Score]],tblStudents[[#This Row],[Writing Score]])</f>
        <v>84.666666666666671</v>
      </c>
      <c r="J909">
        <f>IF(tblStudents[[#This Row],[Average Score]]&gt;=60,1,0)</f>
        <v>1</v>
      </c>
      <c r="K909" t="str">
        <f>IF(tblStudents[[#This Row],[Average Score]]&gt;=60,"Pass","At Risk")</f>
        <v>Pass</v>
      </c>
      <c r="L909" t="str" cm="1">
        <f t="array" ref="L909">_xlfn.IFS(tblStudents[[#This Row],[Average Score]]&gt;=80,"High",tblStudents[[#This Row],[Average Score]]&gt;=60,"Meets Standard",TRUE,"At Risk")</f>
        <v>High</v>
      </c>
      <c r="M90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910" spans="1:13" x14ac:dyDescent="0.25">
      <c r="A910" t="s">
        <v>0</v>
      </c>
      <c r="B910" t="s">
        <v>5</v>
      </c>
      <c r="C910" t="s">
        <v>2</v>
      </c>
      <c r="D910" t="s">
        <v>12</v>
      </c>
      <c r="E910" t="s">
        <v>4</v>
      </c>
      <c r="F910">
        <v>67</v>
      </c>
      <c r="G910">
        <v>75</v>
      </c>
      <c r="H910">
        <v>72</v>
      </c>
      <c r="I910" s="1">
        <f>AVERAGE(tblStudents[[#This Row],[Math Score]],tblStudents[[#This Row],[Reading Score]],tblStudents[[#This Row],[Writing Score]])</f>
        <v>71.333333333333329</v>
      </c>
      <c r="J910">
        <f>IF(tblStudents[[#This Row],[Average Score]]&gt;=60,1,0)</f>
        <v>1</v>
      </c>
      <c r="K910" t="str">
        <f>IF(tblStudents[[#This Row],[Average Score]]&gt;=60,"Pass","At Risk")</f>
        <v>Pass</v>
      </c>
      <c r="L910" t="str" cm="1">
        <f t="array" ref="L910">_xlfn.IFS(tblStudents[[#This Row],[Average Score]]&gt;=80,"High",tblStudents[[#This Row],[Average Score]]&gt;=60,"Meets Standard",TRUE,"At Risk")</f>
        <v>Meets Standard</v>
      </c>
      <c r="M91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11" spans="1:13" x14ac:dyDescent="0.25">
      <c r="A911" t="s">
        <v>9</v>
      </c>
      <c r="B911" t="s">
        <v>16</v>
      </c>
      <c r="C911" t="s">
        <v>2</v>
      </c>
      <c r="D911" t="s">
        <v>3</v>
      </c>
      <c r="E911" t="s">
        <v>7</v>
      </c>
      <c r="F911">
        <v>70</v>
      </c>
      <c r="G911">
        <v>64</v>
      </c>
      <c r="H911">
        <v>70</v>
      </c>
      <c r="I911" s="1">
        <f>AVERAGE(tblStudents[[#This Row],[Math Score]],tblStudents[[#This Row],[Reading Score]],tblStudents[[#This Row],[Writing Score]])</f>
        <v>68</v>
      </c>
      <c r="J911">
        <f>IF(tblStudents[[#This Row],[Average Score]]&gt;=60,1,0)</f>
        <v>1</v>
      </c>
      <c r="K911" t="str">
        <f>IF(tblStudents[[#This Row],[Average Score]]&gt;=60,"Pass","At Risk")</f>
        <v>Pass</v>
      </c>
      <c r="L911" t="str" cm="1">
        <f t="array" ref="L911">_xlfn.IFS(tblStudents[[#This Row],[Average Score]]&gt;=80,"High",tblStudents[[#This Row],[Average Score]]&gt;=60,"Meets Standard",TRUE,"At Risk")</f>
        <v>Meets Standard</v>
      </c>
      <c r="M91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12" spans="1:13" x14ac:dyDescent="0.25">
      <c r="A912" t="s">
        <v>9</v>
      </c>
      <c r="B912" t="s">
        <v>13</v>
      </c>
      <c r="C912" t="s">
        <v>2</v>
      </c>
      <c r="D912" t="s">
        <v>12</v>
      </c>
      <c r="E912" t="s">
        <v>4</v>
      </c>
      <c r="F912">
        <v>50</v>
      </c>
      <c r="G912">
        <v>42</v>
      </c>
      <c r="H912">
        <v>48</v>
      </c>
      <c r="I912" s="1">
        <f>AVERAGE(tblStudents[[#This Row],[Math Score]],tblStudents[[#This Row],[Reading Score]],tblStudents[[#This Row],[Writing Score]])</f>
        <v>46.666666666666664</v>
      </c>
      <c r="J912">
        <f>IF(tblStudents[[#This Row],[Average Score]]&gt;=60,1,0)</f>
        <v>0</v>
      </c>
      <c r="K912" t="str">
        <f>IF(tblStudents[[#This Row],[Average Score]]&gt;=60,"Pass","At Risk")</f>
        <v>At Risk</v>
      </c>
      <c r="L912" t="str" cm="1">
        <f t="array" ref="L912">_xlfn.IFS(tblStudents[[#This Row],[Average Score]]&gt;=80,"High",tblStudents[[#This Row],[Average Score]]&gt;=60,"Meets Standard",TRUE,"At Risk")</f>
        <v>At Risk</v>
      </c>
      <c r="M91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13" spans="1:13" x14ac:dyDescent="0.25">
      <c r="A913" t="s">
        <v>0</v>
      </c>
      <c r="B913" t="s">
        <v>10</v>
      </c>
      <c r="C913" t="s">
        <v>6</v>
      </c>
      <c r="D913" t="s">
        <v>3</v>
      </c>
      <c r="E913" t="s">
        <v>4</v>
      </c>
      <c r="F913">
        <v>69</v>
      </c>
      <c r="G913">
        <v>84</v>
      </c>
      <c r="H913">
        <v>82</v>
      </c>
      <c r="I913" s="1">
        <f>AVERAGE(tblStudents[[#This Row],[Math Score]],tblStudents[[#This Row],[Reading Score]],tblStudents[[#This Row],[Writing Score]])</f>
        <v>78.333333333333329</v>
      </c>
      <c r="J913">
        <f>IF(tblStudents[[#This Row],[Average Score]]&gt;=60,1,0)</f>
        <v>1</v>
      </c>
      <c r="K913" t="str">
        <f>IF(tblStudents[[#This Row],[Average Score]]&gt;=60,"Pass","At Risk")</f>
        <v>Pass</v>
      </c>
      <c r="L913" t="str" cm="1">
        <f t="array" ref="L913">_xlfn.IFS(tblStudents[[#This Row],[Average Score]]&gt;=80,"High",tblStudents[[#This Row],[Average Score]]&gt;=60,"Meets Standard",TRUE,"At Risk")</f>
        <v>Meets Standard</v>
      </c>
      <c r="M91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914" spans="1:13" x14ac:dyDescent="0.25">
      <c r="A914" t="s">
        <v>0</v>
      </c>
      <c r="B914" t="s">
        <v>5</v>
      </c>
      <c r="C914" t="s">
        <v>2</v>
      </c>
      <c r="D914" t="s">
        <v>3</v>
      </c>
      <c r="E914" t="s">
        <v>7</v>
      </c>
      <c r="F914">
        <v>52</v>
      </c>
      <c r="G914">
        <v>61</v>
      </c>
      <c r="H914">
        <v>66</v>
      </c>
      <c r="I914" s="1">
        <f>AVERAGE(tblStudents[[#This Row],[Math Score]],tblStudents[[#This Row],[Reading Score]],tblStudents[[#This Row],[Writing Score]])</f>
        <v>59.666666666666664</v>
      </c>
      <c r="J914">
        <f>IF(tblStudents[[#This Row],[Average Score]]&gt;=60,1,0)</f>
        <v>0</v>
      </c>
      <c r="K914" t="str">
        <f>IF(tblStudents[[#This Row],[Average Score]]&gt;=60,"Pass","At Risk")</f>
        <v>At Risk</v>
      </c>
      <c r="L914" t="str" cm="1">
        <f t="array" ref="L914">_xlfn.IFS(tblStudents[[#This Row],[Average Score]]&gt;=80,"High",tblStudents[[#This Row],[Average Score]]&gt;=60,"Meets Standard",TRUE,"At Risk")</f>
        <v>At Risk</v>
      </c>
      <c r="M91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915" spans="1:13" x14ac:dyDescent="0.25">
      <c r="A915" t="s">
        <v>0</v>
      </c>
      <c r="B915" t="s">
        <v>5</v>
      </c>
      <c r="C915" t="s">
        <v>2</v>
      </c>
      <c r="D915" t="s">
        <v>12</v>
      </c>
      <c r="E915" t="s">
        <v>7</v>
      </c>
      <c r="F915">
        <v>47</v>
      </c>
      <c r="G915">
        <v>62</v>
      </c>
      <c r="H915">
        <v>66</v>
      </c>
      <c r="I915" s="1">
        <f>AVERAGE(tblStudents[[#This Row],[Math Score]],tblStudents[[#This Row],[Reading Score]],tblStudents[[#This Row],[Writing Score]])</f>
        <v>58.333333333333336</v>
      </c>
      <c r="J915">
        <f>IF(tblStudents[[#This Row],[Average Score]]&gt;=60,1,0)</f>
        <v>0</v>
      </c>
      <c r="K915" t="str">
        <f>IF(tblStudents[[#This Row],[Average Score]]&gt;=60,"Pass","At Risk")</f>
        <v>At Risk</v>
      </c>
      <c r="L915" t="str" cm="1">
        <f t="array" ref="L915">_xlfn.IFS(tblStudents[[#This Row],[Average Score]]&gt;=80,"High",tblStudents[[#This Row],[Average Score]]&gt;=60,"Meets Standard",TRUE,"At Risk")</f>
        <v>At Risk</v>
      </c>
      <c r="M91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916" spans="1:13" x14ac:dyDescent="0.25">
      <c r="A916" t="s">
        <v>0</v>
      </c>
      <c r="B916" t="s">
        <v>1</v>
      </c>
      <c r="C916" t="s">
        <v>11</v>
      </c>
      <c r="D916" t="s">
        <v>12</v>
      </c>
      <c r="E916" t="s">
        <v>4</v>
      </c>
      <c r="F916">
        <v>46</v>
      </c>
      <c r="G916">
        <v>61</v>
      </c>
      <c r="H916">
        <v>55</v>
      </c>
      <c r="I916" s="1">
        <f>AVERAGE(tblStudents[[#This Row],[Math Score]],tblStudents[[#This Row],[Reading Score]],tblStudents[[#This Row],[Writing Score]])</f>
        <v>54</v>
      </c>
      <c r="J916">
        <f>IF(tblStudents[[#This Row],[Average Score]]&gt;=60,1,0)</f>
        <v>0</v>
      </c>
      <c r="K916" t="str">
        <f>IF(tblStudents[[#This Row],[Average Score]]&gt;=60,"Pass","At Risk")</f>
        <v>At Risk</v>
      </c>
      <c r="L916" t="str" cm="1">
        <f t="array" ref="L916">_xlfn.IFS(tblStudents[[#This Row],[Average Score]]&gt;=80,"High",tblStudents[[#This Row],[Average Score]]&gt;=60,"Meets Standard",TRUE,"At Risk")</f>
        <v>At Risk</v>
      </c>
      <c r="M91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917" spans="1:13" x14ac:dyDescent="0.25">
      <c r="A917" t="s">
        <v>0</v>
      </c>
      <c r="B917" t="s">
        <v>16</v>
      </c>
      <c r="C917" t="s">
        <v>6</v>
      </c>
      <c r="D917" t="s">
        <v>3</v>
      </c>
      <c r="E917" t="s">
        <v>4</v>
      </c>
      <c r="F917">
        <v>68</v>
      </c>
      <c r="G917">
        <v>70</v>
      </c>
      <c r="H917">
        <v>66</v>
      </c>
      <c r="I917" s="1">
        <f>AVERAGE(tblStudents[[#This Row],[Math Score]],tblStudents[[#This Row],[Reading Score]],tblStudents[[#This Row],[Writing Score]])</f>
        <v>68</v>
      </c>
      <c r="J917">
        <f>IF(tblStudents[[#This Row],[Average Score]]&gt;=60,1,0)</f>
        <v>1</v>
      </c>
      <c r="K917" t="str">
        <f>IF(tblStudents[[#This Row],[Average Score]]&gt;=60,"Pass","At Risk")</f>
        <v>Pass</v>
      </c>
      <c r="L917" t="str" cm="1">
        <f t="array" ref="L917">_xlfn.IFS(tblStudents[[#This Row],[Average Score]]&gt;=80,"High",tblStudents[[#This Row],[Average Score]]&gt;=60,"Meets Standard",TRUE,"At Risk")</f>
        <v>Meets Standard</v>
      </c>
      <c r="M91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918" spans="1:13" x14ac:dyDescent="0.25">
      <c r="A918" t="s">
        <v>9</v>
      </c>
      <c r="B918" t="s">
        <v>16</v>
      </c>
      <c r="C918" t="s">
        <v>2</v>
      </c>
      <c r="D918" t="s">
        <v>3</v>
      </c>
      <c r="E918" t="s">
        <v>7</v>
      </c>
      <c r="F918">
        <v>100</v>
      </c>
      <c r="G918">
        <v>100</v>
      </c>
      <c r="H918">
        <v>100</v>
      </c>
      <c r="I918" s="1">
        <f>AVERAGE(tblStudents[[#This Row],[Math Score]],tblStudents[[#This Row],[Reading Score]],tblStudents[[#This Row],[Writing Score]])</f>
        <v>100</v>
      </c>
      <c r="J918">
        <f>IF(tblStudents[[#This Row],[Average Score]]&gt;=60,1,0)</f>
        <v>1</v>
      </c>
      <c r="K918" t="str">
        <f>IF(tblStudents[[#This Row],[Average Score]]&gt;=60,"Pass","At Risk")</f>
        <v>Pass</v>
      </c>
      <c r="L918" t="str" cm="1">
        <f t="array" ref="L918">_xlfn.IFS(tblStudents[[#This Row],[Average Score]]&gt;=80,"High",tblStudents[[#This Row],[Average Score]]&gt;=60,"Meets Standard",TRUE,"At Risk")</f>
        <v>High</v>
      </c>
      <c r="M91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0</v>
      </c>
    </row>
    <row r="919" spans="1:13" x14ac:dyDescent="0.25">
      <c r="A919" t="s">
        <v>0</v>
      </c>
      <c r="B919" t="s">
        <v>5</v>
      </c>
      <c r="C919" t="s">
        <v>14</v>
      </c>
      <c r="D919" t="s">
        <v>3</v>
      </c>
      <c r="E919" t="s">
        <v>4</v>
      </c>
      <c r="F919">
        <v>44</v>
      </c>
      <c r="G919">
        <v>61</v>
      </c>
      <c r="H919">
        <v>52</v>
      </c>
      <c r="I919" s="1">
        <f>AVERAGE(tblStudents[[#This Row],[Math Score]],tblStudents[[#This Row],[Reading Score]],tblStudents[[#This Row],[Writing Score]])</f>
        <v>52.333333333333336</v>
      </c>
      <c r="J919">
        <f>IF(tblStudents[[#This Row],[Average Score]]&gt;=60,1,0)</f>
        <v>0</v>
      </c>
      <c r="K919" t="str">
        <f>IF(tblStudents[[#This Row],[Average Score]]&gt;=60,"Pass","At Risk")</f>
        <v>At Risk</v>
      </c>
      <c r="L919" t="str" cm="1">
        <f t="array" ref="L919">_xlfn.IFS(tblStudents[[#This Row],[Average Score]]&gt;=80,"High",tblStudents[[#This Row],[Average Score]]&gt;=60,"Meets Standard",TRUE,"At Risk")</f>
        <v>At Risk</v>
      </c>
      <c r="M91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920" spans="1:13" x14ac:dyDescent="0.25">
      <c r="A920" t="s">
        <v>0</v>
      </c>
      <c r="B920" t="s">
        <v>5</v>
      </c>
      <c r="C920" t="s">
        <v>11</v>
      </c>
      <c r="D920" t="s">
        <v>3</v>
      </c>
      <c r="E920" t="s">
        <v>7</v>
      </c>
      <c r="F920">
        <v>57</v>
      </c>
      <c r="G920">
        <v>77</v>
      </c>
      <c r="H920">
        <v>80</v>
      </c>
      <c r="I920" s="1">
        <f>AVERAGE(tblStudents[[#This Row],[Math Score]],tblStudents[[#This Row],[Reading Score]],tblStudents[[#This Row],[Writing Score]])</f>
        <v>71.333333333333329</v>
      </c>
      <c r="J920">
        <f>IF(tblStudents[[#This Row],[Average Score]]&gt;=60,1,0)</f>
        <v>1</v>
      </c>
      <c r="K920" t="str">
        <f>IF(tblStudents[[#This Row],[Average Score]]&gt;=60,"Pass","At Risk")</f>
        <v>Pass</v>
      </c>
      <c r="L920" t="str" cm="1">
        <f t="array" ref="L920">_xlfn.IFS(tblStudents[[#This Row],[Average Score]]&gt;=80,"High",tblStudents[[#This Row],[Average Score]]&gt;=60,"Meets Standard",TRUE,"At Risk")</f>
        <v>Meets Standard</v>
      </c>
      <c r="M92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23</v>
      </c>
    </row>
    <row r="921" spans="1:13" x14ac:dyDescent="0.25">
      <c r="A921" t="s">
        <v>9</v>
      </c>
      <c r="B921" t="s">
        <v>1</v>
      </c>
      <c r="C921" t="s">
        <v>6</v>
      </c>
      <c r="D921" t="s">
        <v>3</v>
      </c>
      <c r="E921" t="s">
        <v>7</v>
      </c>
      <c r="F921">
        <v>91</v>
      </c>
      <c r="G921">
        <v>96</v>
      </c>
      <c r="H921">
        <v>91</v>
      </c>
      <c r="I921" s="1">
        <f>AVERAGE(tblStudents[[#This Row],[Math Score]],tblStudents[[#This Row],[Reading Score]],tblStudents[[#This Row],[Writing Score]])</f>
        <v>92.666666666666671</v>
      </c>
      <c r="J921">
        <f>IF(tblStudents[[#This Row],[Average Score]]&gt;=60,1,0)</f>
        <v>1</v>
      </c>
      <c r="K921" t="str">
        <f>IF(tblStudents[[#This Row],[Average Score]]&gt;=60,"Pass","At Risk")</f>
        <v>Pass</v>
      </c>
      <c r="L921" t="str" cm="1">
        <f t="array" ref="L921">_xlfn.IFS(tblStudents[[#This Row],[Average Score]]&gt;=80,"High",tblStudents[[#This Row],[Average Score]]&gt;=60,"Meets Standard",TRUE,"At Risk")</f>
        <v>High</v>
      </c>
      <c r="M92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922" spans="1:13" x14ac:dyDescent="0.25">
      <c r="A922" t="s">
        <v>9</v>
      </c>
      <c r="B922" t="s">
        <v>13</v>
      </c>
      <c r="C922" t="s">
        <v>14</v>
      </c>
      <c r="D922" t="s">
        <v>12</v>
      </c>
      <c r="E922" t="s">
        <v>4</v>
      </c>
      <c r="F922">
        <v>69</v>
      </c>
      <c r="G922">
        <v>70</v>
      </c>
      <c r="H922">
        <v>67</v>
      </c>
      <c r="I922" s="1">
        <f>AVERAGE(tblStudents[[#This Row],[Math Score]],tblStudents[[#This Row],[Reading Score]],tblStudents[[#This Row],[Writing Score]])</f>
        <v>68.666666666666671</v>
      </c>
      <c r="J922">
        <f>IF(tblStudents[[#This Row],[Average Score]]&gt;=60,1,0)</f>
        <v>1</v>
      </c>
      <c r="K922" t="str">
        <f>IF(tblStudents[[#This Row],[Average Score]]&gt;=60,"Pass","At Risk")</f>
        <v>Pass</v>
      </c>
      <c r="L922" t="str" cm="1">
        <f t="array" ref="L922">_xlfn.IFS(tblStudents[[#This Row],[Average Score]]&gt;=80,"High",tblStudents[[#This Row],[Average Score]]&gt;=60,"Meets Standard",TRUE,"At Risk")</f>
        <v>Meets Standard</v>
      </c>
      <c r="M92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923" spans="1:13" x14ac:dyDescent="0.25">
      <c r="A923" t="s">
        <v>0</v>
      </c>
      <c r="B923" t="s">
        <v>5</v>
      </c>
      <c r="C923" t="s">
        <v>14</v>
      </c>
      <c r="D923" t="s">
        <v>12</v>
      </c>
      <c r="E923" t="s">
        <v>4</v>
      </c>
      <c r="F923">
        <v>35</v>
      </c>
      <c r="G923">
        <v>53</v>
      </c>
      <c r="H923">
        <v>46</v>
      </c>
      <c r="I923" s="1">
        <f>AVERAGE(tblStudents[[#This Row],[Math Score]],tblStudents[[#This Row],[Reading Score]],tblStudents[[#This Row],[Writing Score]])</f>
        <v>44.666666666666664</v>
      </c>
      <c r="J923">
        <f>IF(tblStudents[[#This Row],[Average Score]]&gt;=60,1,0)</f>
        <v>0</v>
      </c>
      <c r="K923" t="str">
        <f>IF(tblStudents[[#This Row],[Average Score]]&gt;=60,"Pass","At Risk")</f>
        <v>At Risk</v>
      </c>
      <c r="L923" t="str" cm="1">
        <f t="array" ref="L923">_xlfn.IFS(tblStudents[[#This Row],[Average Score]]&gt;=80,"High",tblStudents[[#This Row],[Average Score]]&gt;=60,"Meets Standard",TRUE,"At Risk")</f>
        <v>At Risk</v>
      </c>
      <c r="M92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924" spans="1:13" x14ac:dyDescent="0.25">
      <c r="A924" t="s">
        <v>9</v>
      </c>
      <c r="B924" t="s">
        <v>13</v>
      </c>
      <c r="C924" t="s">
        <v>14</v>
      </c>
      <c r="D924" t="s">
        <v>3</v>
      </c>
      <c r="E924" t="s">
        <v>4</v>
      </c>
      <c r="F924">
        <v>72</v>
      </c>
      <c r="G924">
        <v>66</v>
      </c>
      <c r="H924">
        <v>66</v>
      </c>
      <c r="I924" s="1">
        <f>AVERAGE(tblStudents[[#This Row],[Math Score]],tblStudents[[#This Row],[Reading Score]],tblStudents[[#This Row],[Writing Score]])</f>
        <v>68</v>
      </c>
      <c r="J924">
        <f>IF(tblStudents[[#This Row],[Average Score]]&gt;=60,1,0)</f>
        <v>1</v>
      </c>
      <c r="K924" t="str">
        <f>IF(tblStudents[[#This Row],[Average Score]]&gt;=60,"Pass","At Risk")</f>
        <v>Pass</v>
      </c>
      <c r="L924" t="str" cm="1">
        <f t="array" ref="L924">_xlfn.IFS(tblStudents[[#This Row],[Average Score]]&gt;=80,"High",tblStudents[[#This Row],[Average Score]]&gt;=60,"Meets Standard",TRUE,"At Risk")</f>
        <v>Meets Standard</v>
      </c>
      <c r="M92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25" spans="1:13" x14ac:dyDescent="0.25">
      <c r="A925" t="s">
        <v>0</v>
      </c>
      <c r="B925" t="s">
        <v>1</v>
      </c>
      <c r="C925" t="s">
        <v>11</v>
      </c>
      <c r="D925" t="s">
        <v>12</v>
      </c>
      <c r="E925" t="s">
        <v>4</v>
      </c>
      <c r="F925">
        <v>54</v>
      </c>
      <c r="G925">
        <v>65</v>
      </c>
      <c r="H925">
        <v>65</v>
      </c>
      <c r="I925" s="1">
        <f>AVERAGE(tblStudents[[#This Row],[Math Score]],tblStudents[[#This Row],[Reading Score]],tblStudents[[#This Row],[Writing Score]])</f>
        <v>61.333333333333336</v>
      </c>
      <c r="J925">
        <f>IF(tblStudents[[#This Row],[Average Score]]&gt;=60,1,0)</f>
        <v>1</v>
      </c>
      <c r="K925" t="str">
        <f>IF(tblStudents[[#This Row],[Average Score]]&gt;=60,"Pass","At Risk")</f>
        <v>Pass</v>
      </c>
      <c r="L925" t="str" cm="1">
        <f t="array" ref="L925">_xlfn.IFS(tblStudents[[#This Row],[Average Score]]&gt;=80,"High",tblStudents[[#This Row],[Average Score]]&gt;=60,"Meets Standard",TRUE,"At Risk")</f>
        <v>Meets Standard</v>
      </c>
      <c r="M92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26" spans="1:13" x14ac:dyDescent="0.25">
      <c r="A926" t="s">
        <v>9</v>
      </c>
      <c r="B926" t="s">
        <v>13</v>
      </c>
      <c r="C926" t="s">
        <v>14</v>
      </c>
      <c r="D926" t="s">
        <v>12</v>
      </c>
      <c r="E926" t="s">
        <v>4</v>
      </c>
      <c r="F926">
        <v>74</v>
      </c>
      <c r="G926">
        <v>70</v>
      </c>
      <c r="H926">
        <v>69</v>
      </c>
      <c r="I926" s="1">
        <f>AVERAGE(tblStudents[[#This Row],[Math Score]],tblStudents[[#This Row],[Reading Score]],tblStudents[[#This Row],[Writing Score]])</f>
        <v>71</v>
      </c>
      <c r="J926">
        <f>IF(tblStudents[[#This Row],[Average Score]]&gt;=60,1,0)</f>
        <v>1</v>
      </c>
      <c r="K926" t="str">
        <f>IF(tblStudents[[#This Row],[Average Score]]&gt;=60,"Pass","At Risk")</f>
        <v>Pass</v>
      </c>
      <c r="L926" t="str" cm="1">
        <f t="array" ref="L926">_xlfn.IFS(tblStudents[[#This Row],[Average Score]]&gt;=80,"High",tblStudents[[#This Row],[Average Score]]&gt;=60,"Meets Standard",TRUE,"At Risk")</f>
        <v>Meets Standard</v>
      </c>
      <c r="M92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927" spans="1:13" x14ac:dyDescent="0.25">
      <c r="A927" t="s">
        <v>9</v>
      </c>
      <c r="B927" t="s">
        <v>16</v>
      </c>
      <c r="C927" t="s">
        <v>15</v>
      </c>
      <c r="D927" t="s">
        <v>3</v>
      </c>
      <c r="E927" t="s">
        <v>7</v>
      </c>
      <c r="F927">
        <v>74</v>
      </c>
      <c r="G927">
        <v>64</v>
      </c>
      <c r="H927">
        <v>60</v>
      </c>
      <c r="I927" s="1">
        <f>AVERAGE(tblStudents[[#This Row],[Math Score]],tblStudents[[#This Row],[Reading Score]],tblStudents[[#This Row],[Writing Score]])</f>
        <v>66</v>
      </c>
      <c r="J927">
        <f>IF(tblStudents[[#This Row],[Average Score]]&gt;=60,1,0)</f>
        <v>1</v>
      </c>
      <c r="K927" t="str">
        <f>IF(tblStudents[[#This Row],[Average Score]]&gt;=60,"Pass","At Risk")</f>
        <v>Pass</v>
      </c>
      <c r="L927" t="str" cm="1">
        <f t="array" ref="L927">_xlfn.IFS(tblStudents[[#This Row],[Average Score]]&gt;=80,"High",tblStudents[[#This Row],[Average Score]]&gt;=60,"Meets Standard",TRUE,"At Risk")</f>
        <v>Meets Standard</v>
      </c>
      <c r="M92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928" spans="1:13" x14ac:dyDescent="0.25">
      <c r="A928" t="s">
        <v>9</v>
      </c>
      <c r="B928" t="s">
        <v>16</v>
      </c>
      <c r="C928" t="s">
        <v>11</v>
      </c>
      <c r="D928" t="s">
        <v>12</v>
      </c>
      <c r="E928" t="s">
        <v>4</v>
      </c>
      <c r="F928">
        <v>64</v>
      </c>
      <c r="G928">
        <v>56</v>
      </c>
      <c r="H928">
        <v>52</v>
      </c>
      <c r="I928" s="1">
        <f>AVERAGE(tblStudents[[#This Row],[Math Score]],tblStudents[[#This Row],[Reading Score]],tblStudents[[#This Row],[Writing Score]])</f>
        <v>57.333333333333336</v>
      </c>
      <c r="J928">
        <f>IF(tblStudents[[#This Row],[Average Score]]&gt;=60,1,0)</f>
        <v>0</v>
      </c>
      <c r="K928" t="str">
        <f>IF(tblStudents[[#This Row],[Average Score]]&gt;=60,"Pass","At Risk")</f>
        <v>At Risk</v>
      </c>
      <c r="L928" t="str" cm="1">
        <f t="array" ref="L928">_xlfn.IFS(tblStudents[[#This Row],[Average Score]]&gt;=80,"High",tblStudents[[#This Row],[Average Score]]&gt;=60,"Meets Standard",TRUE,"At Risk")</f>
        <v>At Risk</v>
      </c>
      <c r="M92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929" spans="1:13" x14ac:dyDescent="0.25">
      <c r="A929" t="s">
        <v>0</v>
      </c>
      <c r="B929" t="s">
        <v>13</v>
      </c>
      <c r="C929" t="s">
        <v>14</v>
      </c>
      <c r="D929" t="s">
        <v>12</v>
      </c>
      <c r="E929" t="s">
        <v>7</v>
      </c>
      <c r="F929">
        <v>65</v>
      </c>
      <c r="G929">
        <v>61</v>
      </c>
      <c r="H929">
        <v>71</v>
      </c>
      <c r="I929" s="1">
        <f>AVERAGE(tblStudents[[#This Row],[Math Score]],tblStudents[[#This Row],[Reading Score]],tblStudents[[#This Row],[Writing Score]])</f>
        <v>65.666666666666671</v>
      </c>
      <c r="J929">
        <f>IF(tblStudents[[#This Row],[Average Score]]&gt;=60,1,0)</f>
        <v>1</v>
      </c>
      <c r="K929" t="str">
        <f>IF(tblStudents[[#This Row],[Average Score]]&gt;=60,"Pass","At Risk")</f>
        <v>Pass</v>
      </c>
      <c r="L929" t="str" cm="1">
        <f t="array" ref="L929">_xlfn.IFS(tblStudents[[#This Row],[Average Score]]&gt;=80,"High",tblStudents[[#This Row],[Average Score]]&gt;=60,"Meets Standard",TRUE,"At Risk")</f>
        <v>Meets Standard</v>
      </c>
      <c r="M92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930" spans="1:13" x14ac:dyDescent="0.25">
      <c r="A930" t="s">
        <v>9</v>
      </c>
      <c r="B930" t="s">
        <v>16</v>
      </c>
      <c r="C930" t="s">
        <v>11</v>
      </c>
      <c r="D930" t="s">
        <v>12</v>
      </c>
      <c r="E930" t="s">
        <v>7</v>
      </c>
      <c r="F930">
        <v>46</v>
      </c>
      <c r="G930">
        <v>43</v>
      </c>
      <c r="H930">
        <v>44</v>
      </c>
      <c r="I930" s="1">
        <f>AVERAGE(tblStudents[[#This Row],[Math Score]],tblStudents[[#This Row],[Reading Score]],tblStudents[[#This Row],[Writing Score]])</f>
        <v>44.333333333333336</v>
      </c>
      <c r="J930">
        <f>IF(tblStudents[[#This Row],[Average Score]]&gt;=60,1,0)</f>
        <v>0</v>
      </c>
      <c r="K930" t="str">
        <f>IF(tblStudents[[#This Row],[Average Score]]&gt;=60,"Pass","At Risk")</f>
        <v>At Risk</v>
      </c>
      <c r="L930" t="str" cm="1">
        <f t="array" ref="L930">_xlfn.IFS(tblStudents[[#This Row],[Average Score]]&gt;=80,"High",tblStudents[[#This Row],[Average Score]]&gt;=60,"Meets Standard",TRUE,"At Risk")</f>
        <v>At Risk</v>
      </c>
      <c r="M93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931" spans="1:13" x14ac:dyDescent="0.25">
      <c r="A931" t="s">
        <v>0</v>
      </c>
      <c r="B931" t="s">
        <v>5</v>
      </c>
      <c r="C931" t="s">
        <v>15</v>
      </c>
      <c r="D931" t="s">
        <v>12</v>
      </c>
      <c r="E931" t="s">
        <v>4</v>
      </c>
      <c r="F931">
        <v>48</v>
      </c>
      <c r="G931">
        <v>56</v>
      </c>
      <c r="H931">
        <v>51</v>
      </c>
      <c r="I931" s="1">
        <f>AVERAGE(tblStudents[[#This Row],[Math Score]],tblStudents[[#This Row],[Reading Score]],tblStudents[[#This Row],[Writing Score]])</f>
        <v>51.666666666666664</v>
      </c>
      <c r="J931">
        <f>IF(tblStudents[[#This Row],[Average Score]]&gt;=60,1,0)</f>
        <v>0</v>
      </c>
      <c r="K931" t="str">
        <f>IF(tblStudents[[#This Row],[Average Score]]&gt;=60,"Pass","At Risk")</f>
        <v>At Risk</v>
      </c>
      <c r="L931" t="str" cm="1">
        <f t="array" ref="L931">_xlfn.IFS(tblStudents[[#This Row],[Average Score]]&gt;=80,"High",tblStudents[[#This Row],[Average Score]]&gt;=60,"Meets Standard",TRUE,"At Risk")</f>
        <v>At Risk</v>
      </c>
      <c r="M93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32" spans="1:13" x14ac:dyDescent="0.25">
      <c r="A932" t="s">
        <v>9</v>
      </c>
      <c r="B932" t="s">
        <v>5</v>
      </c>
      <c r="C932" t="s">
        <v>6</v>
      </c>
      <c r="D932" t="s">
        <v>12</v>
      </c>
      <c r="E932" t="s">
        <v>7</v>
      </c>
      <c r="F932">
        <v>67</v>
      </c>
      <c r="G932">
        <v>74</v>
      </c>
      <c r="H932">
        <v>70</v>
      </c>
      <c r="I932" s="1">
        <f>AVERAGE(tblStudents[[#This Row],[Math Score]],tblStudents[[#This Row],[Reading Score]],tblStudents[[#This Row],[Writing Score]])</f>
        <v>70.333333333333329</v>
      </c>
      <c r="J932">
        <f>IF(tblStudents[[#This Row],[Average Score]]&gt;=60,1,0)</f>
        <v>1</v>
      </c>
      <c r="K932" t="str">
        <f>IF(tblStudents[[#This Row],[Average Score]]&gt;=60,"Pass","At Risk")</f>
        <v>Pass</v>
      </c>
      <c r="L932" t="str" cm="1">
        <f t="array" ref="L932">_xlfn.IFS(tblStudents[[#This Row],[Average Score]]&gt;=80,"High",tblStudents[[#This Row],[Average Score]]&gt;=60,"Meets Standard",TRUE,"At Risk")</f>
        <v>Meets Standard</v>
      </c>
      <c r="M93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33" spans="1:13" x14ac:dyDescent="0.25">
      <c r="A933" t="s">
        <v>9</v>
      </c>
      <c r="B933" t="s">
        <v>13</v>
      </c>
      <c r="C933" t="s">
        <v>6</v>
      </c>
      <c r="D933" t="s">
        <v>12</v>
      </c>
      <c r="E933" t="s">
        <v>4</v>
      </c>
      <c r="F933">
        <v>62</v>
      </c>
      <c r="G933">
        <v>57</v>
      </c>
      <c r="H933">
        <v>62</v>
      </c>
      <c r="I933" s="1">
        <f>AVERAGE(tblStudents[[#This Row],[Math Score]],tblStudents[[#This Row],[Reading Score]],tblStudents[[#This Row],[Writing Score]])</f>
        <v>60.333333333333336</v>
      </c>
      <c r="J933">
        <f>IF(tblStudents[[#This Row],[Average Score]]&gt;=60,1,0)</f>
        <v>1</v>
      </c>
      <c r="K933" t="str">
        <f>IF(tblStudents[[#This Row],[Average Score]]&gt;=60,"Pass","At Risk")</f>
        <v>Pass</v>
      </c>
      <c r="L933" t="str" cm="1">
        <f t="array" ref="L933">_xlfn.IFS(tblStudents[[#This Row],[Average Score]]&gt;=80,"High",tblStudents[[#This Row],[Average Score]]&gt;=60,"Meets Standard",TRUE,"At Risk")</f>
        <v>Meets Standard</v>
      </c>
      <c r="M93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934" spans="1:13" x14ac:dyDescent="0.25">
      <c r="A934" t="s">
        <v>9</v>
      </c>
      <c r="B934" t="s">
        <v>13</v>
      </c>
      <c r="C934" t="s">
        <v>11</v>
      </c>
      <c r="D934" t="s">
        <v>12</v>
      </c>
      <c r="E934" t="s">
        <v>7</v>
      </c>
      <c r="F934">
        <v>61</v>
      </c>
      <c r="G934">
        <v>71</v>
      </c>
      <c r="H934">
        <v>73</v>
      </c>
      <c r="I934" s="1">
        <f>AVERAGE(tblStudents[[#This Row],[Math Score]],tblStudents[[#This Row],[Reading Score]],tblStudents[[#This Row],[Writing Score]])</f>
        <v>68.333333333333329</v>
      </c>
      <c r="J934">
        <f>IF(tblStudents[[#This Row],[Average Score]]&gt;=60,1,0)</f>
        <v>1</v>
      </c>
      <c r="K934" t="str">
        <f>IF(tblStudents[[#This Row],[Average Score]]&gt;=60,"Pass","At Risk")</f>
        <v>Pass</v>
      </c>
      <c r="L934" t="str" cm="1">
        <f t="array" ref="L934">_xlfn.IFS(tblStudents[[#This Row],[Average Score]]&gt;=80,"High",tblStudents[[#This Row],[Average Score]]&gt;=60,"Meets Standard",TRUE,"At Risk")</f>
        <v>Meets Standard</v>
      </c>
      <c r="M93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935" spans="1:13" x14ac:dyDescent="0.25">
      <c r="A935" t="s">
        <v>9</v>
      </c>
      <c r="B935" t="s">
        <v>5</v>
      </c>
      <c r="C935" t="s">
        <v>2</v>
      </c>
      <c r="D935" t="s">
        <v>12</v>
      </c>
      <c r="E935" t="s">
        <v>7</v>
      </c>
      <c r="F935">
        <v>70</v>
      </c>
      <c r="G935">
        <v>75</v>
      </c>
      <c r="H935">
        <v>74</v>
      </c>
      <c r="I935" s="1">
        <f>AVERAGE(tblStudents[[#This Row],[Math Score]],tblStudents[[#This Row],[Reading Score]],tblStudents[[#This Row],[Writing Score]])</f>
        <v>73</v>
      </c>
      <c r="J935">
        <f>IF(tblStudents[[#This Row],[Average Score]]&gt;=60,1,0)</f>
        <v>1</v>
      </c>
      <c r="K935" t="str">
        <f>IF(tblStudents[[#This Row],[Average Score]]&gt;=60,"Pass","At Risk")</f>
        <v>Pass</v>
      </c>
      <c r="L935" t="str" cm="1">
        <f t="array" ref="L935">_xlfn.IFS(tblStudents[[#This Row],[Average Score]]&gt;=80,"High",tblStudents[[#This Row],[Average Score]]&gt;=60,"Meets Standard",TRUE,"At Risk")</f>
        <v>Meets Standard</v>
      </c>
      <c r="M93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5</v>
      </c>
    </row>
    <row r="936" spans="1:13" x14ac:dyDescent="0.25">
      <c r="A936" t="s">
        <v>9</v>
      </c>
      <c r="B936" t="s">
        <v>5</v>
      </c>
      <c r="C936" t="s">
        <v>11</v>
      </c>
      <c r="D936" t="s">
        <v>3</v>
      </c>
      <c r="E936" t="s">
        <v>7</v>
      </c>
      <c r="F936">
        <v>98</v>
      </c>
      <c r="G936">
        <v>87</v>
      </c>
      <c r="H936">
        <v>90</v>
      </c>
      <c r="I936" s="1">
        <f>AVERAGE(tblStudents[[#This Row],[Math Score]],tblStudents[[#This Row],[Reading Score]],tblStudents[[#This Row],[Writing Score]])</f>
        <v>91.666666666666671</v>
      </c>
      <c r="J936">
        <f>IF(tblStudents[[#This Row],[Average Score]]&gt;=60,1,0)</f>
        <v>1</v>
      </c>
      <c r="K936" t="str">
        <f>IF(tblStudents[[#This Row],[Average Score]]&gt;=60,"Pass","At Risk")</f>
        <v>Pass</v>
      </c>
      <c r="L936" t="str" cm="1">
        <f t="array" ref="L936">_xlfn.IFS(tblStudents[[#This Row],[Average Score]]&gt;=80,"High",tblStudents[[#This Row],[Average Score]]&gt;=60,"Meets Standard",TRUE,"At Risk")</f>
        <v>High</v>
      </c>
      <c r="M93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37" spans="1:13" x14ac:dyDescent="0.25">
      <c r="A937" t="s">
        <v>9</v>
      </c>
      <c r="B937" t="s">
        <v>13</v>
      </c>
      <c r="C937" t="s">
        <v>6</v>
      </c>
      <c r="D937" t="s">
        <v>12</v>
      </c>
      <c r="E937" t="s">
        <v>4</v>
      </c>
      <c r="F937">
        <v>70</v>
      </c>
      <c r="G937">
        <v>63</v>
      </c>
      <c r="H937">
        <v>58</v>
      </c>
      <c r="I937" s="1">
        <f>AVERAGE(tblStudents[[#This Row],[Math Score]],tblStudents[[#This Row],[Reading Score]],tblStudents[[#This Row],[Writing Score]])</f>
        <v>63.666666666666664</v>
      </c>
      <c r="J937">
        <f>IF(tblStudents[[#This Row],[Average Score]]&gt;=60,1,0)</f>
        <v>1</v>
      </c>
      <c r="K937" t="str">
        <f>IF(tblStudents[[#This Row],[Average Score]]&gt;=60,"Pass","At Risk")</f>
        <v>Pass</v>
      </c>
      <c r="L937" t="str" cm="1">
        <f t="array" ref="L937">_xlfn.IFS(tblStudents[[#This Row],[Average Score]]&gt;=80,"High",tblStudents[[#This Row],[Average Score]]&gt;=60,"Meets Standard",TRUE,"At Risk")</f>
        <v>Meets Standard</v>
      </c>
      <c r="M93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938" spans="1:13" x14ac:dyDescent="0.25">
      <c r="A938" t="s">
        <v>9</v>
      </c>
      <c r="B938" t="s">
        <v>10</v>
      </c>
      <c r="C938" t="s">
        <v>11</v>
      </c>
      <c r="D938" t="s">
        <v>3</v>
      </c>
      <c r="E938" t="s">
        <v>4</v>
      </c>
      <c r="F938">
        <v>67</v>
      </c>
      <c r="G938">
        <v>57</v>
      </c>
      <c r="H938">
        <v>53</v>
      </c>
      <c r="I938" s="1">
        <f>AVERAGE(tblStudents[[#This Row],[Math Score]],tblStudents[[#This Row],[Reading Score]],tblStudents[[#This Row],[Writing Score]])</f>
        <v>59</v>
      </c>
      <c r="J938">
        <f>IF(tblStudents[[#This Row],[Average Score]]&gt;=60,1,0)</f>
        <v>0</v>
      </c>
      <c r="K938" t="str">
        <f>IF(tblStudents[[#This Row],[Average Score]]&gt;=60,"Pass","At Risk")</f>
        <v>At Risk</v>
      </c>
      <c r="L938" t="str" cm="1">
        <f t="array" ref="L938">_xlfn.IFS(tblStudents[[#This Row],[Average Score]]&gt;=80,"High",tblStudents[[#This Row],[Average Score]]&gt;=60,"Meets Standard",TRUE,"At Risk")</f>
        <v>At Risk</v>
      </c>
      <c r="M93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939" spans="1:13" x14ac:dyDescent="0.25">
      <c r="A939" t="s">
        <v>0</v>
      </c>
      <c r="B939" t="s">
        <v>16</v>
      </c>
      <c r="C939" t="s">
        <v>14</v>
      </c>
      <c r="D939" t="s">
        <v>12</v>
      </c>
      <c r="E939" t="s">
        <v>4</v>
      </c>
      <c r="F939">
        <v>57</v>
      </c>
      <c r="G939">
        <v>58</v>
      </c>
      <c r="H939">
        <v>57</v>
      </c>
      <c r="I939" s="1">
        <f>AVERAGE(tblStudents[[#This Row],[Math Score]],tblStudents[[#This Row],[Reading Score]],tblStudents[[#This Row],[Writing Score]])</f>
        <v>57.333333333333336</v>
      </c>
      <c r="J939">
        <f>IF(tblStudents[[#This Row],[Average Score]]&gt;=60,1,0)</f>
        <v>0</v>
      </c>
      <c r="K939" t="str">
        <f>IF(tblStudents[[#This Row],[Average Score]]&gt;=60,"Pass","At Risk")</f>
        <v>At Risk</v>
      </c>
      <c r="L939" t="str" cm="1">
        <f t="array" ref="L939">_xlfn.IFS(tblStudents[[#This Row],[Average Score]]&gt;=80,"High",tblStudents[[#This Row],[Average Score]]&gt;=60,"Meets Standard",TRUE,"At Risk")</f>
        <v>At Risk</v>
      </c>
      <c r="M93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940" spans="1:13" x14ac:dyDescent="0.25">
      <c r="A940" t="s">
        <v>9</v>
      </c>
      <c r="B940" t="s">
        <v>13</v>
      </c>
      <c r="C940" t="s">
        <v>6</v>
      </c>
      <c r="D940" t="s">
        <v>3</v>
      </c>
      <c r="E940" t="s">
        <v>7</v>
      </c>
      <c r="F940">
        <v>85</v>
      </c>
      <c r="G940">
        <v>81</v>
      </c>
      <c r="H940">
        <v>85</v>
      </c>
      <c r="I940" s="1">
        <f>AVERAGE(tblStudents[[#This Row],[Math Score]],tblStudents[[#This Row],[Reading Score]],tblStudents[[#This Row],[Writing Score]])</f>
        <v>83.666666666666671</v>
      </c>
      <c r="J940">
        <f>IF(tblStudents[[#This Row],[Average Score]]&gt;=60,1,0)</f>
        <v>1</v>
      </c>
      <c r="K940" t="str">
        <f>IF(tblStudents[[#This Row],[Average Score]]&gt;=60,"Pass","At Risk")</f>
        <v>Pass</v>
      </c>
      <c r="L940" t="str" cm="1">
        <f t="array" ref="L940">_xlfn.IFS(tblStudents[[#This Row],[Average Score]]&gt;=80,"High",tblStudents[[#This Row],[Average Score]]&gt;=60,"Meets Standard",TRUE,"At Risk")</f>
        <v>High</v>
      </c>
      <c r="M94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941" spans="1:13" x14ac:dyDescent="0.25">
      <c r="A941" t="s">
        <v>9</v>
      </c>
      <c r="B941" t="s">
        <v>13</v>
      </c>
      <c r="C941" t="s">
        <v>15</v>
      </c>
      <c r="D941" t="s">
        <v>3</v>
      </c>
      <c r="E941" t="s">
        <v>7</v>
      </c>
      <c r="F941">
        <v>77</v>
      </c>
      <c r="G941">
        <v>68</v>
      </c>
      <c r="H941">
        <v>69</v>
      </c>
      <c r="I941" s="1">
        <f>AVERAGE(tblStudents[[#This Row],[Math Score]],tblStudents[[#This Row],[Reading Score]],tblStudents[[#This Row],[Writing Score]])</f>
        <v>71.333333333333329</v>
      </c>
      <c r="J941">
        <f>IF(tblStudents[[#This Row],[Average Score]]&gt;=60,1,0)</f>
        <v>1</v>
      </c>
      <c r="K941" t="str">
        <f>IF(tblStudents[[#This Row],[Average Score]]&gt;=60,"Pass","At Risk")</f>
        <v>Pass</v>
      </c>
      <c r="L941" t="str" cm="1">
        <f t="array" ref="L941">_xlfn.IFS(tblStudents[[#This Row],[Average Score]]&gt;=80,"High",tblStudents[[#This Row],[Average Score]]&gt;=60,"Meets Standard",TRUE,"At Risk")</f>
        <v>Meets Standard</v>
      </c>
      <c r="M94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42" spans="1:13" x14ac:dyDescent="0.25">
      <c r="A942" t="s">
        <v>9</v>
      </c>
      <c r="B942" t="s">
        <v>5</v>
      </c>
      <c r="C942" t="s">
        <v>8</v>
      </c>
      <c r="D942" t="s">
        <v>12</v>
      </c>
      <c r="E942" t="s">
        <v>7</v>
      </c>
      <c r="F942">
        <v>72</v>
      </c>
      <c r="G942">
        <v>66</v>
      </c>
      <c r="H942">
        <v>72</v>
      </c>
      <c r="I942" s="1">
        <f>AVERAGE(tblStudents[[#This Row],[Math Score]],tblStudents[[#This Row],[Reading Score]],tblStudents[[#This Row],[Writing Score]])</f>
        <v>70</v>
      </c>
      <c r="J942">
        <f>IF(tblStudents[[#This Row],[Average Score]]&gt;=60,1,0)</f>
        <v>1</v>
      </c>
      <c r="K942" t="str">
        <f>IF(tblStudents[[#This Row],[Average Score]]&gt;=60,"Pass","At Risk")</f>
        <v>Pass</v>
      </c>
      <c r="L942" t="str" cm="1">
        <f t="array" ref="L942">_xlfn.IFS(tblStudents[[#This Row],[Average Score]]&gt;=80,"High",tblStudents[[#This Row],[Average Score]]&gt;=60,"Meets Standard",TRUE,"At Risk")</f>
        <v>Meets Standard</v>
      </c>
      <c r="M94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43" spans="1:13" x14ac:dyDescent="0.25">
      <c r="A943" t="s">
        <v>0</v>
      </c>
      <c r="B943" t="s">
        <v>13</v>
      </c>
      <c r="C943" t="s">
        <v>8</v>
      </c>
      <c r="D943" t="s">
        <v>3</v>
      </c>
      <c r="E943" t="s">
        <v>4</v>
      </c>
      <c r="F943">
        <v>78</v>
      </c>
      <c r="G943">
        <v>91</v>
      </c>
      <c r="H943">
        <v>96</v>
      </c>
      <c r="I943" s="1">
        <f>AVERAGE(tblStudents[[#This Row],[Math Score]],tblStudents[[#This Row],[Reading Score]],tblStudents[[#This Row],[Writing Score]])</f>
        <v>88.333333333333329</v>
      </c>
      <c r="J943">
        <f>IF(tblStudents[[#This Row],[Average Score]]&gt;=60,1,0)</f>
        <v>1</v>
      </c>
      <c r="K943" t="str">
        <f>IF(tblStudents[[#This Row],[Average Score]]&gt;=60,"Pass","At Risk")</f>
        <v>Pass</v>
      </c>
      <c r="L943" t="str" cm="1">
        <f t="array" ref="L943">_xlfn.IFS(tblStudents[[#This Row],[Average Score]]&gt;=80,"High",tblStudents[[#This Row],[Average Score]]&gt;=60,"Meets Standard",TRUE,"At Risk")</f>
        <v>High</v>
      </c>
      <c r="M94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944" spans="1:13" x14ac:dyDescent="0.25">
      <c r="A944" t="s">
        <v>9</v>
      </c>
      <c r="B944" t="s">
        <v>5</v>
      </c>
      <c r="C944" t="s">
        <v>14</v>
      </c>
      <c r="D944" t="s">
        <v>3</v>
      </c>
      <c r="E944" t="s">
        <v>4</v>
      </c>
      <c r="F944">
        <v>81</v>
      </c>
      <c r="G944">
        <v>66</v>
      </c>
      <c r="H944">
        <v>64</v>
      </c>
      <c r="I944" s="1">
        <f>AVERAGE(tblStudents[[#This Row],[Math Score]],tblStudents[[#This Row],[Reading Score]],tblStudents[[#This Row],[Writing Score]])</f>
        <v>70.333333333333329</v>
      </c>
      <c r="J944">
        <f>IF(tblStudents[[#This Row],[Average Score]]&gt;=60,1,0)</f>
        <v>1</v>
      </c>
      <c r="K944" t="str">
        <f>IF(tblStudents[[#This Row],[Average Score]]&gt;=60,"Pass","At Risk")</f>
        <v>Pass</v>
      </c>
      <c r="L944" t="str" cm="1">
        <f t="array" ref="L944">_xlfn.IFS(tblStudents[[#This Row],[Average Score]]&gt;=80,"High",tblStudents[[#This Row],[Average Score]]&gt;=60,"Meets Standard",TRUE,"At Risk")</f>
        <v>Meets Standard</v>
      </c>
      <c r="M94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945" spans="1:13" x14ac:dyDescent="0.25">
      <c r="A945" t="s">
        <v>9</v>
      </c>
      <c r="B945" t="s">
        <v>10</v>
      </c>
      <c r="C945" t="s">
        <v>15</v>
      </c>
      <c r="D945" t="s">
        <v>12</v>
      </c>
      <c r="E945" t="s">
        <v>7</v>
      </c>
      <c r="F945">
        <v>61</v>
      </c>
      <c r="G945">
        <v>62</v>
      </c>
      <c r="H945">
        <v>61</v>
      </c>
      <c r="I945" s="1">
        <f>AVERAGE(tblStudents[[#This Row],[Math Score]],tblStudents[[#This Row],[Reading Score]],tblStudents[[#This Row],[Writing Score]])</f>
        <v>61.333333333333336</v>
      </c>
      <c r="J945">
        <f>IF(tblStudents[[#This Row],[Average Score]]&gt;=60,1,0)</f>
        <v>1</v>
      </c>
      <c r="K945" t="str">
        <f>IF(tblStudents[[#This Row],[Average Score]]&gt;=60,"Pass","At Risk")</f>
        <v>Pass</v>
      </c>
      <c r="L945" t="str" cm="1">
        <f t="array" ref="L945">_xlfn.IFS(tblStudents[[#This Row],[Average Score]]&gt;=80,"High",tblStudents[[#This Row],[Average Score]]&gt;=60,"Meets Standard",TRUE,"At Risk")</f>
        <v>Meets Standard</v>
      </c>
      <c r="M94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946" spans="1:13" x14ac:dyDescent="0.25">
      <c r="A946" t="s">
        <v>0</v>
      </c>
      <c r="B946" t="s">
        <v>1</v>
      </c>
      <c r="C946" t="s">
        <v>14</v>
      </c>
      <c r="D946" t="s">
        <v>3</v>
      </c>
      <c r="E946" t="s">
        <v>4</v>
      </c>
      <c r="F946">
        <v>58</v>
      </c>
      <c r="G946">
        <v>68</v>
      </c>
      <c r="H946">
        <v>61</v>
      </c>
      <c r="I946" s="1">
        <f>AVERAGE(tblStudents[[#This Row],[Math Score]],tblStudents[[#This Row],[Reading Score]],tblStudents[[#This Row],[Writing Score]])</f>
        <v>62.333333333333336</v>
      </c>
      <c r="J946">
        <f>IF(tblStudents[[#This Row],[Average Score]]&gt;=60,1,0)</f>
        <v>1</v>
      </c>
      <c r="K946" t="str">
        <f>IF(tblStudents[[#This Row],[Average Score]]&gt;=60,"Pass","At Risk")</f>
        <v>Pass</v>
      </c>
      <c r="L946" t="str" cm="1">
        <f t="array" ref="L946">_xlfn.IFS(tblStudents[[#This Row],[Average Score]]&gt;=80,"High",tblStudents[[#This Row],[Average Score]]&gt;=60,"Meets Standard",TRUE,"At Risk")</f>
        <v>Meets Standard</v>
      </c>
      <c r="M94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947" spans="1:13" x14ac:dyDescent="0.25">
      <c r="A947" t="s">
        <v>0</v>
      </c>
      <c r="B947" t="s">
        <v>5</v>
      </c>
      <c r="C947" t="s">
        <v>11</v>
      </c>
      <c r="D947" t="s">
        <v>3</v>
      </c>
      <c r="E947" t="s">
        <v>4</v>
      </c>
      <c r="F947">
        <v>54</v>
      </c>
      <c r="G947">
        <v>61</v>
      </c>
      <c r="H947">
        <v>58</v>
      </c>
      <c r="I947" s="1">
        <f>AVERAGE(tblStudents[[#This Row],[Math Score]],tblStudents[[#This Row],[Reading Score]],tblStudents[[#This Row],[Writing Score]])</f>
        <v>57.666666666666664</v>
      </c>
      <c r="J947">
        <f>IF(tblStudents[[#This Row],[Average Score]]&gt;=60,1,0)</f>
        <v>0</v>
      </c>
      <c r="K947" t="str">
        <f>IF(tblStudents[[#This Row],[Average Score]]&gt;=60,"Pass","At Risk")</f>
        <v>At Risk</v>
      </c>
      <c r="L947" t="str" cm="1">
        <f t="array" ref="L947">_xlfn.IFS(tblStudents[[#This Row],[Average Score]]&gt;=80,"High",tblStudents[[#This Row],[Average Score]]&gt;=60,"Meets Standard",TRUE,"At Risk")</f>
        <v>At Risk</v>
      </c>
      <c r="M94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48" spans="1:13" x14ac:dyDescent="0.25">
      <c r="A948" t="s">
        <v>9</v>
      </c>
      <c r="B948" t="s">
        <v>1</v>
      </c>
      <c r="C948" t="s">
        <v>14</v>
      </c>
      <c r="D948" t="s">
        <v>3</v>
      </c>
      <c r="E948" t="s">
        <v>4</v>
      </c>
      <c r="F948">
        <v>82</v>
      </c>
      <c r="G948">
        <v>82</v>
      </c>
      <c r="H948">
        <v>80</v>
      </c>
      <c r="I948" s="1">
        <f>AVERAGE(tblStudents[[#This Row],[Math Score]],tblStudents[[#This Row],[Reading Score]],tblStudents[[#This Row],[Writing Score]])</f>
        <v>81.333333333333329</v>
      </c>
      <c r="J948">
        <f>IF(tblStudents[[#This Row],[Average Score]]&gt;=60,1,0)</f>
        <v>1</v>
      </c>
      <c r="K948" t="str">
        <f>IF(tblStudents[[#This Row],[Average Score]]&gt;=60,"Pass","At Risk")</f>
        <v>Pass</v>
      </c>
      <c r="L948" t="str" cm="1">
        <f t="array" ref="L948">_xlfn.IFS(tblStudents[[#This Row],[Average Score]]&gt;=80,"High",tblStudents[[#This Row],[Average Score]]&gt;=60,"Meets Standard",TRUE,"At Risk")</f>
        <v>High</v>
      </c>
      <c r="M94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949" spans="1:13" x14ac:dyDescent="0.25">
      <c r="A949" t="s">
        <v>0</v>
      </c>
      <c r="B949" t="s">
        <v>13</v>
      </c>
      <c r="C949" t="s">
        <v>6</v>
      </c>
      <c r="D949" t="s">
        <v>12</v>
      </c>
      <c r="E949" t="s">
        <v>4</v>
      </c>
      <c r="F949">
        <v>49</v>
      </c>
      <c r="G949">
        <v>58</v>
      </c>
      <c r="H949">
        <v>60</v>
      </c>
      <c r="I949" s="1">
        <f>AVERAGE(tblStudents[[#This Row],[Math Score]],tblStudents[[#This Row],[Reading Score]],tblStudents[[#This Row],[Writing Score]])</f>
        <v>55.666666666666664</v>
      </c>
      <c r="J949">
        <f>IF(tblStudents[[#This Row],[Average Score]]&gt;=60,1,0)</f>
        <v>0</v>
      </c>
      <c r="K949" t="str">
        <f>IF(tblStudents[[#This Row],[Average Score]]&gt;=60,"Pass","At Risk")</f>
        <v>At Risk</v>
      </c>
      <c r="L949" t="str" cm="1">
        <f t="array" ref="L949">_xlfn.IFS(tblStudents[[#This Row],[Average Score]]&gt;=80,"High",tblStudents[[#This Row],[Average Score]]&gt;=60,"Meets Standard",TRUE,"At Risk")</f>
        <v>At Risk</v>
      </c>
      <c r="M94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50" spans="1:13" x14ac:dyDescent="0.25">
      <c r="A950" t="s">
        <v>9</v>
      </c>
      <c r="B950" t="s">
        <v>1</v>
      </c>
      <c r="C950" t="s">
        <v>15</v>
      </c>
      <c r="D950" t="s">
        <v>12</v>
      </c>
      <c r="E950" t="s">
        <v>7</v>
      </c>
      <c r="F950">
        <v>49</v>
      </c>
      <c r="G950">
        <v>50</v>
      </c>
      <c r="H950">
        <v>52</v>
      </c>
      <c r="I950" s="1">
        <f>AVERAGE(tblStudents[[#This Row],[Math Score]],tblStudents[[#This Row],[Reading Score]],tblStudents[[#This Row],[Writing Score]])</f>
        <v>50.333333333333336</v>
      </c>
      <c r="J950">
        <f>IF(tblStudents[[#This Row],[Average Score]]&gt;=60,1,0)</f>
        <v>0</v>
      </c>
      <c r="K950" t="str">
        <f>IF(tblStudents[[#This Row],[Average Score]]&gt;=60,"Pass","At Risk")</f>
        <v>At Risk</v>
      </c>
      <c r="L950" t="str" cm="1">
        <f t="array" ref="L950">_xlfn.IFS(tblStudents[[#This Row],[Average Score]]&gt;=80,"High",tblStudents[[#This Row],[Average Score]]&gt;=60,"Meets Standard",TRUE,"At Risk")</f>
        <v>At Risk</v>
      </c>
      <c r="M95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951" spans="1:13" x14ac:dyDescent="0.25">
      <c r="A951" t="s">
        <v>0</v>
      </c>
      <c r="B951" t="s">
        <v>16</v>
      </c>
      <c r="C951" t="s">
        <v>14</v>
      </c>
      <c r="D951" t="s">
        <v>12</v>
      </c>
      <c r="E951" t="s">
        <v>7</v>
      </c>
      <c r="F951">
        <v>57</v>
      </c>
      <c r="G951">
        <v>75</v>
      </c>
      <c r="H951">
        <v>73</v>
      </c>
      <c r="I951" s="1">
        <f>AVERAGE(tblStudents[[#This Row],[Math Score]],tblStudents[[#This Row],[Reading Score]],tblStudents[[#This Row],[Writing Score]])</f>
        <v>68.333333333333329</v>
      </c>
      <c r="J951">
        <f>IF(tblStudents[[#This Row],[Average Score]]&gt;=60,1,0)</f>
        <v>1</v>
      </c>
      <c r="K951" t="str">
        <f>IF(tblStudents[[#This Row],[Average Score]]&gt;=60,"Pass","At Risk")</f>
        <v>Pass</v>
      </c>
      <c r="L951" t="str" cm="1">
        <f t="array" ref="L951">_xlfn.IFS(tblStudents[[#This Row],[Average Score]]&gt;=80,"High",tblStudents[[#This Row],[Average Score]]&gt;=60,"Meets Standard",TRUE,"At Risk")</f>
        <v>Meets Standard</v>
      </c>
      <c r="M95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952" spans="1:13" x14ac:dyDescent="0.25">
      <c r="A952" t="s">
        <v>9</v>
      </c>
      <c r="B952" t="s">
        <v>16</v>
      </c>
      <c r="C952" t="s">
        <v>14</v>
      </c>
      <c r="D952" t="s">
        <v>3</v>
      </c>
      <c r="E952" t="s">
        <v>4</v>
      </c>
      <c r="F952">
        <v>94</v>
      </c>
      <c r="G952">
        <v>73</v>
      </c>
      <c r="H952">
        <v>71</v>
      </c>
      <c r="I952" s="1">
        <f>AVERAGE(tblStudents[[#This Row],[Math Score]],tblStudents[[#This Row],[Reading Score]],tblStudents[[#This Row],[Writing Score]])</f>
        <v>79.333333333333329</v>
      </c>
      <c r="J952">
        <f>IF(tblStudents[[#This Row],[Average Score]]&gt;=60,1,0)</f>
        <v>1</v>
      </c>
      <c r="K952" t="str">
        <f>IF(tblStudents[[#This Row],[Average Score]]&gt;=60,"Pass","At Risk")</f>
        <v>Pass</v>
      </c>
      <c r="L952" t="str" cm="1">
        <f t="array" ref="L952">_xlfn.IFS(tblStudents[[#This Row],[Average Score]]&gt;=80,"High",tblStudents[[#This Row],[Average Score]]&gt;=60,"Meets Standard",TRUE,"At Risk")</f>
        <v>Meets Standard</v>
      </c>
      <c r="M95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23</v>
      </c>
    </row>
    <row r="953" spans="1:13" x14ac:dyDescent="0.25">
      <c r="A953" t="s">
        <v>0</v>
      </c>
      <c r="B953" t="s">
        <v>13</v>
      </c>
      <c r="C953" t="s">
        <v>6</v>
      </c>
      <c r="D953" t="s">
        <v>3</v>
      </c>
      <c r="E953" t="s">
        <v>7</v>
      </c>
      <c r="F953">
        <v>75</v>
      </c>
      <c r="G953">
        <v>77</v>
      </c>
      <c r="H953">
        <v>83</v>
      </c>
      <c r="I953" s="1">
        <f>AVERAGE(tblStudents[[#This Row],[Math Score]],tblStudents[[#This Row],[Reading Score]],tblStudents[[#This Row],[Writing Score]])</f>
        <v>78.333333333333329</v>
      </c>
      <c r="J953">
        <f>IF(tblStudents[[#This Row],[Average Score]]&gt;=60,1,0)</f>
        <v>1</v>
      </c>
      <c r="K953" t="str">
        <f>IF(tblStudents[[#This Row],[Average Score]]&gt;=60,"Pass","At Risk")</f>
        <v>Pass</v>
      </c>
      <c r="L953" t="str" cm="1">
        <f t="array" ref="L953">_xlfn.IFS(tblStudents[[#This Row],[Average Score]]&gt;=80,"High",tblStudents[[#This Row],[Average Score]]&gt;=60,"Meets Standard",TRUE,"At Risk")</f>
        <v>Meets Standard</v>
      </c>
      <c r="M95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54" spans="1:13" x14ac:dyDescent="0.25">
      <c r="A954" t="s">
        <v>0</v>
      </c>
      <c r="B954" t="s">
        <v>16</v>
      </c>
      <c r="C954" t="s">
        <v>15</v>
      </c>
      <c r="D954" t="s">
        <v>12</v>
      </c>
      <c r="E954" t="s">
        <v>4</v>
      </c>
      <c r="F954">
        <v>74</v>
      </c>
      <c r="G954">
        <v>74</v>
      </c>
      <c r="H954">
        <v>72</v>
      </c>
      <c r="I954" s="1">
        <f>AVERAGE(tblStudents[[#This Row],[Math Score]],tblStudents[[#This Row],[Reading Score]],tblStudents[[#This Row],[Writing Score]])</f>
        <v>73.333333333333329</v>
      </c>
      <c r="J954">
        <f>IF(tblStudents[[#This Row],[Average Score]]&gt;=60,1,0)</f>
        <v>1</v>
      </c>
      <c r="K954" t="str">
        <f>IF(tblStudents[[#This Row],[Average Score]]&gt;=60,"Pass","At Risk")</f>
        <v>Pass</v>
      </c>
      <c r="L954" t="str" cm="1">
        <f t="array" ref="L954">_xlfn.IFS(tblStudents[[#This Row],[Average Score]]&gt;=80,"High",tblStudents[[#This Row],[Average Score]]&gt;=60,"Meets Standard",TRUE,"At Risk")</f>
        <v>Meets Standard</v>
      </c>
      <c r="M95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955" spans="1:13" x14ac:dyDescent="0.25">
      <c r="A955" t="s">
        <v>9</v>
      </c>
      <c r="B955" t="s">
        <v>5</v>
      </c>
      <c r="C955" t="s">
        <v>14</v>
      </c>
      <c r="D955" t="s">
        <v>3</v>
      </c>
      <c r="E955" t="s">
        <v>7</v>
      </c>
      <c r="F955">
        <v>58</v>
      </c>
      <c r="G955">
        <v>52</v>
      </c>
      <c r="H955">
        <v>54</v>
      </c>
      <c r="I955" s="1">
        <f>AVERAGE(tblStudents[[#This Row],[Math Score]],tblStudents[[#This Row],[Reading Score]],tblStudents[[#This Row],[Writing Score]])</f>
        <v>54.666666666666664</v>
      </c>
      <c r="J955">
        <f>IF(tblStudents[[#This Row],[Average Score]]&gt;=60,1,0)</f>
        <v>0</v>
      </c>
      <c r="K955" t="str">
        <f>IF(tblStudents[[#This Row],[Average Score]]&gt;=60,"Pass","At Risk")</f>
        <v>At Risk</v>
      </c>
      <c r="L955" t="str" cm="1">
        <f t="array" ref="L955">_xlfn.IFS(tblStudents[[#This Row],[Average Score]]&gt;=80,"High",tblStudents[[#This Row],[Average Score]]&gt;=60,"Meets Standard",TRUE,"At Risk")</f>
        <v>At Risk</v>
      </c>
      <c r="M95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56" spans="1:13" x14ac:dyDescent="0.25">
      <c r="A956" t="s">
        <v>0</v>
      </c>
      <c r="B956" t="s">
        <v>5</v>
      </c>
      <c r="C956" t="s">
        <v>6</v>
      </c>
      <c r="D956" t="s">
        <v>3</v>
      </c>
      <c r="E956" t="s">
        <v>4</v>
      </c>
      <c r="F956">
        <v>62</v>
      </c>
      <c r="G956">
        <v>69</v>
      </c>
      <c r="H956">
        <v>69</v>
      </c>
      <c r="I956" s="1">
        <f>AVERAGE(tblStudents[[#This Row],[Math Score]],tblStudents[[#This Row],[Reading Score]],tblStudents[[#This Row],[Writing Score]])</f>
        <v>66.666666666666671</v>
      </c>
      <c r="J956">
        <f>IF(tblStudents[[#This Row],[Average Score]]&gt;=60,1,0)</f>
        <v>1</v>
      </c>
      <c r="K956" t="str">
        <f>IF(tblStudents[[#This Row],[Average Score]]&gt;=60,"Pass","At Risk")</f>
        <v>Pass</v>
      </c>
      <c r="L956" t="str" cm="1">
        <f t="array" ref="L956">_xlfn.IFS(tblStudents[[#This Row],[Average Score]]&gt;=80,"High",tblStudents[[#This Row],[Average Score]]&gt;=60,"Meets Standard",TRUE,"At Risk")</f>
        <v>Meets Standard</v>
      </c>
      <c r="M95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57" spans="1:13" x14ac:dyDescent="0.25">
      <c r="A957" t="s">
        <v>9</v>
      </c>
      <c r="B957" t="s">
        <v>16</v>
      </c>
      <c r="C957" t="s">
        <v>11</v>
      </c>
      <c r="D957" t="s">
        <v>3</v>
      </c>
      <c r="E957" t="s">
        <v>4</v>
      </c>
      <c r="F957">
        <v>72</v>
      </c>
      <c r="G957">
        <v>57</v>
      </c>
      <c r="H957">
        <v>62</v>
      </c>
      <c r="I957" s="1">
        <f>AVERAGE(tblStudents[[#This Row],[Math Score]],tblStudents[[#This Row],[Reading Score]],tblStudents[[#This Row],[Writing Score]])</f>
        <v>63.666666666666664</v>
      </c>
      <c r="J957">
        <f>IF(tblStudents[[#This Row],[Average Score]]&gt;=60,1,0)</f>
        <v>1</v>
      </c>
      <c r="K957" t="str">
        <f>IF(tblStudents[[#This Row],[Average Score]]&gt;=60,"Pass","At Risk")</f>
        <v>Pass</v>
      </c>
      <c r="L957" t="str" cm="1">
        <f t="array" ref="L957">_xlfn.IFS(tblStudents[[#This Row],[Average Score]]&gt;=80,"High",tblStudents[[#This Row],[Average Score]]&gt;=60,"Meets Standard",TRUE,"At Risk")</f>
        <v>Meets Standard</v>
      </c>
      <c r="M95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958" spans="1:13" x14ac:dyDescent="0.25">
      <c r="A958" t="s">
        <v>9</v>
      </c>
      <c r="B958" t="s">
        <v>5</v>
      </c>
      <c r="C958" t="s">
        <v>6</v>
      </c>
      <c r="D958" t="s">
        <v>3</v>
      </c>
      <c r="E958" t="s">
        <v>4</v>
      </c>
      <c r="F958">
        <v>84</v>
      </c>
      <c r="G958">
        <v>87</v>
      </c>
      <c r="H958">
        <v>81</v>
      </c>
      <c r="I958" s="1">
        <f>AVERAGE(tblStudents[[#This Row],[Math Score]],tblStudents[[#This Row],[Reading Score]],tblStudents[[#This Row],[Writing Score]])</f>
        <v>84</v>
      </c>
      <c r="J958">
        <f>IF(tblStudents[[#This Row],[Average Score]]&gt;=60,1,0)</f>
        <v>1</v>
      </c>
      <c r="K958" t="str">
        <f>IF(tblStudents[[#This Row],[Average Score]]&gt;=60,"Pass","At Risk")</f>
        <v>Pass</v>
      </c>
      <c r="L958" t="str" cm="1">
        <f t="array" ref="L958">_xlfn.IFS(tblStudents[[#This Row],[Average Score]]&gt;=80,"High",tblStudents[[#This Row],[Average Score]]&gt;=60,"Meets Standard",TRUE,"At Risk")</f>
        <v>High</v>
      </c>
      <c r="M95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59" spans="1:13" x14ac:dyDescent="0.25">
      <c r="A959" t="s">
        <v>0</v>
      </c>
      <c r="B959" t="s">
        <v>13</v>
      </c>
      <c r="C959" t="s">
        <v>8</v>
      </c>
      <c r="D959" t="s">
        <v>3</v>
      </c>
      <c r="E959" t="s">
        <v>4</v>
      </c>
      <c r="F959">
        <v>92</v>
      </c>
      <c r="G959">
        <v>100</v>
      </c>
      <c r="H959">
        <v>100</v>
      </c>
      <c r="I959" s="1">
        <f>AVERAGE(tblStudents[[#This Row],[Math Score]],tblStudents[[#This Row],[Reading Score]],tblStudents[[#This Row],[Writing Score]])</f>
        <v>97.333333333333329</v>
      </c>
      <c r="J959">
        <f>IF(tblStudents[[#This Row],[Average Score]]&gt;=60,1,0)</f>
        <v>1</v>
      </c>
      <c r="K959" t="str">
        <f>IF(tblStudents[[#This Row],[Average Score]]&gt;=60,"Pass","At Risk")</f>
        <v>Pass</v>
      </c>
      <c r="L959" t="str" cm="1">
        <f t="array" ref="L959">_xlfn.IFS(tblStudents[[#This Row],[Average Score]]&gt;=80,"High",tblStudents[[#This Row],[Average Score]]&gt;=60,"Meets Standard",TRUE,"At Risk")</f>
        <v>High</v>
      </c>
      <c r="M95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60" spans="1:13" x14ac:dyDescent="0.25">
      <c r="A960" t="s">
        <v>0</v>
      </c>
      <c r="B960" t="s">
        <v>13</v>
      </c>
      <c r="C960" t="s">
        <v>14</v>
      </c>
      <c r="D960" t="s">
        <v>3</v>
      </c>
      <c r="E960" t="s">
        <v>4</v>
      </c>
      <c r="F960">
        <v>45</v>
      </c>
      <c r="G960">
        <v>63</v>
      </c>
      <c r="H960">
        <v>59</v>
      </c>
      <c r="I960" s="1">
        <f>AVERAGE(tblStudents[[#This Row],[Math Score]],tblStudents[[#This Row],[Reading Score]],tblStudents[[#This Row],[Writing Score]])</f>
        <v>55.666666666666664</v>
      </c>
      <c r="J960">
        <f>IF(tblStudents[[#This Row],[Average Score]]&gt;=60,1,0)</f>
        <v>0</v>
      </c>
      <c r="K960" t="str">
        <f>IF(tblStudents[[#This Row],[Average Score]]&gt;=60,"Pass","At Risk")</f>
        <v>At Risk</v>
      </c>
      <c r="L960" t="str" cm="1">
        <f t="array" ref="L960">_xlfn.IFS(tblStudents[[#This Row],[Average Score]]&gt;=80,"High",tblStudents[[#This Row],[Average Score]]&gt;=60,"Meets Standard",TRUE,"At Risk")</f>
        <v>At Risk</v>
      </c>
      <c r="M96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961" spans="1:13" x14ac:dyDescent="0.25">
      <c r="A961" t="s">
        <v>9</v>
      </c>
      <c r="B961" t="s">
        <v>5</v>
      </c>
      <c r="C961" t="s">
        <v>14</v>
      </c>
      <c r="D961" t="s">
        <v>3</v>
      </c>
      <c r="E961" t="s">
        <v>4</v>
      </c>
      <c r="F961">
        <v>75</v>
      </c>
      <c r="G961">
        <v>81</v>
      </c>
      <c r="H961">
        <v>71</v>
      </c>
      <c r="I961" s="1">
        <f>AVERAGE(tblStudents[[#This Row],[Math Score]],tblStudents[[#This Row],[Reading Score]],tblStudents[[#This Row],[Writing Score]])</f>
        <v>75.666666666666671</v>
      </c>
      <c r="J961">
        <f>IF(tblStudents[[#This Row],[Average Score]]&gt;=60,1,0)</f>
        <v>1</v>
      </c>
      <c r="K961" t="str">
        <f>IF(tblStudents[[#This Row],[Average Score]]&gt;=60,"Pass","At Risk")</f>
        <v>Pass</v>
      </c>
      <c r="L961" t="str" cm="1">
        <f t="array" ref="L961">_xlfn.IFS(tblStudents[[#This Row],[Average Score]]&gt;=80,"High",tblStudents[[#This Row],[Average Score]]&gt;=60,"Meets Standard",TRUE,"At Risk")</f>
        <v>Meets Standard</v>
      </c>
      <c r="M96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962" spans="1:13" x14ac:dyDescent="0.25">
      <c r="A962" t="s">
        <v>0</v>
      </c>
      <c r="B962" t="s">
        <v>10</v>
      </c>
      <c r="C962" t="s">
        <v>6</v>
      </c>
      <c r="D962" t="s">
        <v>3</v>
      </c>
      <c r="E962" t="s">
        <v>4</v>
      </c>
      <c r="F962">
        <v>56</v>
      </c>
      <c r="G962">
        <v>58</v>
      </c>
      <c r="H962">
        <v>64</v>
      </c>
      <c r="I962" s="1">
        <f>AVERAGE(tblStudents[[#This Row],[Math Score]],tblStudents[[#This Row],[Reading Score]],tblStudents[[#This Row],[Writing Score]])</f>
        <v>59.333333333333336</v>
      </c>
      <c r="J962">
        <f>IF(tblStudents[[#This Row],[Average Score]]&gt;=60,1,0)</f>
        <v>0</v>
      </c>
      <c r="K962" t="str">
        <f>IF(tblStudents[[#This Row],[Average Score]]&gt;=60,"Pass","At Risk")</f>
        <v>At Risk</v>
      </c>
      <c r="L962" t="str" cm="1">
        <f t="array" ref="L962">_xlfn.IFS(tblStudents[[#This Row],[Average Score]]&gt;=80,"High",tblStudents[[#This Row],[Average Score]]&gt;=60,"Meets Standard",TRUE,"At Risk")</f>
        <v>At Risk</v>
      </c>
      <c r="M96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63" spans="1:13" x14ac:dyDescent="0.25">
      <c r="A963" t="s">
        <v>0</v>
      </c>
      <c r="B963" t="s">
        <v>13</v>
      </c>
      <c r="C963" t="s">
        <v>15</v>
      </c>
      <c r="D963" t="s">
        <v>12</v>
      </c>
      <c r="E963" t="s">
        <v>4</v>
      </c>
      <c r="F963">
        <v>48</v>
      </c>
      <c r="G963">
        <v>54</v>
      </c>
      <c r="H963">
        <v>53</v>
      </c>
      <c r="I963" s="1">
        <f>AVERAGE(tblStudents[[#This Row],[Math Score]],tblStudents[[#This Row],[Reading Score]],tblStudents[[#This Row],[Writing Score]])</f>
        <v>51.666666666666664</v>
      </c>
      <c r="J963">
        <f>IF(tblStudents[[#This Row],[Average Score]]&gt;=60,1,0)</f>
        <v>0</v>
      </c>
      <c r="K963" t="str">
        <f>IF(tblStudents[[#This Row],[Average Score]]&gt;=60,"Pass","At Risk")</f>
        <v>At Risk</v>
      </c>
      <c r="L963" t="str" cm="1">
        <f t="array" ref="L963">_xlfn.IFS(tblStudents[[#This Row],[Average Score]]&gt;=80,"High",tblStudents[[#This Row],[Average Score]]&gt;=60,"Meets Standard",TRUE,"At Risk")</f>
        <v>At Risk</v>
      </c>
      <c r="M96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64" spans="1:13" x14ac:dyDescent="0.25">
      <c r="A964" t="s">
        <v>0</v>
      </c>
      <c r="B964" t="s">
        <v>16</v>
      </c>
      <c r="C964" t="s">
        <v>11</v>
      </c>
      <c r="D964" t="s">
        <v>3</v>
      </c>
      <c r="E964" t="s">
        <v>4</v>
      </c>
      <c r="F964">
        <v>100</v>
      </c>
      <c r="G964">
        <v>100</v>
      </c>
      <c r="H964">
        <v>100</v>
      </c>
      <c r="I964" s="1">
        <f>AVERAGE(tblStudents[[#This Row],[Math Score]],tblStudents[[#This Row],[Reading Score]],tblStudents[[#This Row],[Writing Score]])</f>
        <v>100</v>
      </c>
      <c r="J964">
        <f>IF(tblStudents[[#This Row],[Average Score]]&gt;=60,1,0)</f>
        <v>1</v>
      </c>
      <c r="K964" t="str">
        <f>IF(tblStudents[[#This Row],[Average Score]]&gt;=60,"Pass","At Risk")</f>
        <v>Pass</v>
      </c>
      <c r="L964" t="str" cm="1">
        <f t="array" ref="L964">_xlfn.IFS(tblStudents[[#This Row],[Average Score]]&gt;=80,"High",tblStudents[[#This Row],[Average Score]]&gt;=60,"Meets Standard",TRUE,"At Risk")</f>
        <v>High</v>
      </c>
      <c r="M96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0</v>
      </c>
    </row>
    <row r="965" spans="1:13" x14ac:dyDescent="0.25">
      <c r="A965" t="s">
        <v>0</v>
      </c>
      <c r="B965" t="s">
        <v>5</v>
      </c>
      <c r="C965" t="s">
        <v>15</v>
      </c>
      <c r="D965" t="s">
        <v>12</v>
      </c>
      <c r="E965" t="s">
        <v>7</v>
      </c>
      <c r="F965">
        <v>65</v>
      </c>
      <c r="G965">
        <v>76</v>
      </c>
      <c r="H965">
        <v>75</v>
      </c>
      <c r="I965" s="1">
        <f>AVERAGE(tblStudents[[#This Row],[Math Score]],tblStudents[[#This Row],[Reading Score]],tblStudents[[#This Row],[Writing Score]])</f>
        <v>72</v>
      </c>
      <c r="J965">
        <f>IF(tblStudents[[#This Row],[Average Score]]&gt;=60,1,0)</f>
        <v>1</v>
      </c>
      <c r="K965" t="str">
        <f>IF(tblStudents[[#This Row],[Average Score]]&gt;=60,"Pass","At Risk")</f>
        <v>Pass</v>
      </c>
      <c r="L965" t="str" cm="1">
        <f t="array" ref="L965">_xlfn.IFS(tblStudents[[#This Row],[Average Score]]&gt;=80,"High",tblStudents[[#This Row],[Average Score]]&gt;=60,"Meets Standard",TRUE,"At Risk")</f>
        <v>Meets Standard</v>
      </c>
      <c r="M96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66" spans="1:13" x14ac:dyDescent="0.25">
      <c r="A966" t="s">
        <v>9</v>
      </c>
      <c r="B966" t="s">
        <v>13</v>
      </c>
      <c r="C966" t="s">
        <v>6</v>
      </c>
      <c r="D966" t="s">
        <v>3</v>
      </c>
      <c r="E966" t="s">
        <v>4</v>
      </c>
      <c r="F966">
        <v>72</v>
      </c>
      <c r="G966">
        <v>57</v>
      </c>
      <c r="H966">
        <v>58</v>
      </c>
      <c r="I966" s="1">
        <f>AVERAGE(tblStudents[[#This Row],[Math Score]],tblStudents[[#This Row],[Reading Score]],tblStudents[[#This Row],[Writing Score]])</f>
        <v>62.333333333333336</v>
      </c>
      <c r="J966">
        <f>IF(tblStudents[[#This Row],[Average Score]]&gt;=60,1,0)</f>
        <v>1</v>
      </c>
      <c r="K966" t="str">
        <f>IF(tblStudents[[#This Row],[Average Score]]&gt;=60,"Pass","At Risk")</f>
        <v>Pass</v>
      </c>
      <c r="L966" t="str" cm="1">
        <f t="array" ref="L966">_xlfn.IFS(tblStudents[[#This Row],[Average Score]]&gt;=80,"High",tblStudents[[#This Row],[Average Score]]&gt;=60,"Meets Standard",TRUE,"At Risk")</f>
        <v>Meets Standard</v>
      </c>
      <c r="M96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15</v>
      </c>
    </row>
    <row r="967" spans="1:13" x14ac:dyDescent="0.25">
      <c r="A967" t="s">
        <v>0</v>
      </c>
      <c r="B967" t="s">
        <v>13</v>
      </c>
      <c r="C967" t="s">
        <v>6</v>
      </c>
      <c r="D967" t="s">
        <v>3</v>
      </c>
      <c r="E967" t="s">
        <v>4</v>
      </c>
      <c r="F967">
        <v>62</v>
      </c>
      <c r="G967">
        <v>70</v>
      </c>
      <c r="H967">
        <v>72</v>
      </c>
      <c r="I967" s="1">
        <f>AVERAGE(tblStudents[[#This Row],[Math Score]],tblStudents[[#This Row],[Reading Score]],tblStudents[[#This Row],[Writing Score]])</f>
        <v>68</v>
      </c>
      <c r="J967">
        <f>IF(tblStudents[[#This Row],[Average Score]]&gt;=60,1,0)</f>
        <v>1</v>
      </c>
      <c r="K967" t="str">
        <f>IF(tblStudents[[#This Row],[Average Score]]&gt;=60,"Pass","At Risk")</f>
        <v>Pass</v>
      </c>
      <c r="L967" t="str" cm="1">
        <f t="array" ref="L967">_xlfn.IFS(tblStudents[[#This Row],[Average Score]]&gt;=80,"High",tblStudents[[#This Row],[Average Score]]&gt;=60,"Meets Standard",TRUE,"At Risk")</f>
        <v>Meets Standard</v>
      </c>
      <c r="M96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968" spans="1:13" x14ac:dyDescent="0.25">
      <c r="A968" t="s">
        <v>9</v>
      </c>
      <c r="B968" t="s">
        <v>10</v>
      </c>
      <c r="C968" t="s">
        <v>15</v>
      </c>
      <c r="D968" t="s">
        <v>3</v>
      </c>
      <c r="E968" t="s">
        <v>7</v>
      </c>
      <c r="F968">
        <v>66</v>
      </c>
      <c r="G968">
        <v>68</v>
      </c>
      <c r="H968">
        <v>64</v>
      </c>
      <c r="I968" s="1">
        <f>AVERAGE(tblStudents[[#This Row],[Math Score]],tblStudents[[#This Row],[Reading Score]],tblStudents[[#This Row],[Writing Score]])</f>
        <v>66</v>
      </c>
      <c r="J968">
        <f>IF(tblStudents[[#This Row],[Average Score]]&gt;=60,1,0)</f>
        <v>1</v>
      </c>
      <c r="K968" t="str">
        <f>IF(tblStudents[[#This Row],[Average Score]]&gt;=60,"Pass","At Risk")</f>
        <v>Pass</v>
      </c>
      <c r="L968" t="str" cm="1">
        <f t="array" ref="L968">_xlfn.IFS(tblStudents[[#This Row],[Average Score]]&gt;=80,"High",tblStudents[[#This Row],[Average Score]]&gt;=60,"Meets Standard",TRUE,"At Risk")</f>
        <v>Meets Standard</v>
      </c>
      <c r="M96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969" spans="1:13" x14ac:dyDescent="0.25">
      <c r="A969" t="s">
        <v>9</v>
      </c>
      <c r="B969" t="s">
        <v>5</v>
      </c>
      <c r="C969" t="s">
        <v>6</v>
      </c>
      <c r="D969" t="s">
        <v>3</v>
      </c>
      <c r="E969" t="s">
        <v>4</v>
      </c>
      <c r="F969">
        <v>63</v>
      </c>
      <c r="G969">
        <v>63</v>
      </c>
      <c r="H969">
        <v>60</v>
      </c>
      <c r="I969" s="1">
        <f>AVERAGE(tblStudents[[#This Row],[Math Score]],tblStudents[[#This Row],[Reading Score]],tblStudents[[#This Row],[Writing Score]])</f>
        <v>62</v>
      </c>
      <c r="J969">
        <f>IF(tblStudents[[#This Row],[Average Score]]&gt;=60,1,0)</f>
        <v>1</v>
      </c>
      <c r="K969" t="str">
        <f>IF(tblStudents[[#This Row],[Average Score]]&gt;=60,"Pass","At Risk")</f>
        <v>Pass</v>
      </c>
      <c r="L969" t="str" cm="1">
        <f t="array" ref="L969">_xlfn.IFS(tblStudents[[#This Row],[Average Score]]&gt;=80,"High",tblStudents[[#This Row],[Average Score]]&gt;=60,"Meets Standard",TRUE,"At Risk")</f>
        <v>Meets Standard</v>
      </c>
      <c r="M96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970" spans="1:13" x14ac:dyDescent="0.25">
      <c r="A970" t="s">
        <v>0</v>
      </c>
      <c r="B970" t="s">
        <v>16</v>
      </c>
      <c r="C970" t="s">
        <v>11</v>
      </c>
      <c r="D970" t="s">
        <v>3</v>
      </c>
      <c r="E970" t="s">
        <v>4</v>
      </c>
      <c r="F970">
        <v>68</v>
      </c>
      <c r="G970">
        <v>76</v>
      </c>
      <c r="H970">
        <v>67</v>
      </c>
      <c r="I970" s="1">
        <f>AVERAGE(tblStudents[[#This Row],[Math Score]],tblStudents[[#This Row],[Reading Score]],tblStudents[[#This Row],[Writing Score]])</f>
        <v>70.333333333333329</v>
      </c>
      <c r="J970">
        <f>IF(tblStudents[[#This Row],[Average Score]]&gt;=60,1,0)</f>
        <v>1</v>
      </c>
      <c r="K970" t="str">
        <f>IF(tblStudents[[#This Row],[Average Score]]&gt;=60,"Pass","At Risk")</f>
        <v>Pass</v>
      </c>
      <c r="L970" t="str" cm="1">
        <f t="array" ref="L970">_xlfn.IFS(tblStudents[[#This Row],[Average Score]]&gt;=80,"High",tblStudents[[#This Row],[Average Score]]&gt;=60,"Meets Standard",TRUE,"At Risk")</f>
        <v>Meets Standard</v>
      </c>
      <c r="M97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71" spans="1:13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>
        <v>75</v>
      </c>
      <c r="G971">
        <v>84</v>
      </c>
      <c r="H971">
        <v>80</v>
      </c>
      <c r="I971" s="1">
        <f>AVERAGE(tblStudents[[#This Row],[Math Score]],tblStudents[[#This Row],[Reading Score]],tblStudents[[#This Row],[Writing Score]])</f>
        <v>79.666666666666671</v>
      </c>
      <c r="J971">
        <f>IF(tblStudents[[#This Row],[Average Score]]&gt;=60,1,0)</f>
        <v>1</v>
      </c>
      <c r="K971" t="str">
        <f>IF(tblStudents[[#This Row],[Average Score]]&gt;=60,"Pass","At Risk")</f>
        <v>Pass</v>
      </c>
      <c r="L971" t="str" cm="1">
        <f t="array" ref="L971">_xlfn.IFS(tblStudents[[#This Row],[Average Score]]&gt;=80,"High",tblStudents[[#This Row],[Average Score]]&gt;=60,"Meets Standard",TRUE,"At Risk")</f>
        <v>Meets Standard</v>
      </c>
      <c r="M97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72" spans="1:13" x14ac:dyDescent="0.25">
      <c r="A972" t="s">
        <v>0</v>
      </c>
      <c r="B972" t="s">
        <v>13</v>
      </c>
      <c r="C972" t="s">
        <v>2</v>
      </c>
      <c r="D972" t="s">
        <v>3</v>
      </c>
      <c r="E972" t="s">
        <v>4</v>
      </c>
      <c r="F972">
        <v>89</v>
      </c>
      <c r="G972">
        <v>100</v>
      </c>
      <c r="H972">
        <v>100</v>
      </c>
      <c r="I972" s="1">
        <f>AVERAGE(tblStudents[[#This Row],[Math Score]],tblStudents[[#This Row],[Reading Score]],tblStudents[[#This Row],[Writing Score]])</f>
        <v>96.333333333333329</v>
      </c>
      <c r="J972">
        <f>IF(tblStudents[[#This Row],[Average Score]]&gt;=60,1,0)</f>
        <v>1</v>
      </c>
      <c r="K972" t="str">
        <f>IF(tblStudents[[#This Row],[Average Score]]&gt;=60,"Pass","At Risk")</f>
        <v>Pass</v>
      </c>
      <c r="L972" t="str" cm="1">
        <f t="array" ref="L972">_xlfn.IFS(tblStudents[[#This Row],[Average Score]]&gt;=80,"High",tblStudents[[#This Row],[Average Score]]&gt;=60,"Meets Standard",TRUE,"At Risk")</f>
        <v>High</v>
      </c>
      <c r="M97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73" spans="1:13" x14ac:dyDescent="0.25">
      <c r="A973" t="s">
        <v>9</v>
      </c>
      <c r="B973" t="s">
        <v>5</v>
      </c>
      <c r="C973" t="s">
        <v>15</v>
      </c>
      <c r="D973" t="s">
        <v>3</v>
      </c>
      <c r="E973" t="s">
        <v>7</v>
      </c>
      <c r="F973">
        <v>78</v>
      </c>
      <c r="G973">
        <v>72</v>
      </c>
      <c r="H973">
        <v>69</v>
      </c>
      <c r="I973" s="1">
        <f>AVERAGE(tblStudents[[#This Row],[Math Score]],tblStudents[[#This Row],[Reading Score]],tblStudents[[#This Row],[Writing Score]])</f>
        <v>73</v>
      </c>
      <c r="J973">
        <f>IF(tblStudents[[#This Row],[Average Score]]&gt;=60,1,0)</f>
        <v>1</v>
      </c>
      <c r="K973" t="str">
        <f>IF(tblStudents[[#This Row],[Average Score]]&gt;=60,"Pass","At Risk")</f>
        <v>Pass</v>
      </c>
      <c r="L973" t="str" cm="1">
        <f t="array" ref="L973">_xlfn.IFS(tblStudents[[#This Row],[Average Score]]&gt;=80,"High",tblStudents[[#This Row],[Average Score]]&gt;=60,"Meets Standard",TRUE,"At Risk")</f>
        <v>Meets Standard</v>
      </c>
      <c r="M97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  <row r="974" spans="1:13" x14ac:dyDescent="0.25">
      <c r="A974" t="s">
        <v>0</v>
      </c>
      <c r="B974" t="s">
        <v>10</v>
      </c>
      <c r="C974" t="s">
        <v>14</v>
      </c>
      <c r="D974" t="s">
        <v>12</v>
      </c>
      <c r="E974" t="s">
        <v>7</v>
      </c>
      <c r="F974">
        <v>53</v>
      </c>
      <c r="G974">
        <v>50</v>
      </c>
      <c r="H974">
        <v>60</v>
      </c>
      <c r="I974" s="1">
        <f>AVERAGE(tblStudents[[#This Row],[Math Score]],tblStudents[[#This Row],[Reading Score]],tblStudents[[#This Row],[Writing Score]])</f>
        <v>54.333333333333336</v>
      </c>
      <c r="J974">
        <f>IF(tblStudents[[#This Row],[Average Score]]&gt;=60,1,0)</f>
        <v>0</v>
      </c>
      <c r="K974" t="str">
        <f>IF(tblStudents[[#This Row],[Average Score]]&gt;=60,"Pass","At Risk")</f>
        <v>At Risk</v>
      </c>
      <c r="L974" t="str" cm="1">
        <f t="array" ref="L974">_xlfn.IFS(tblStudents[[#This Row],[Average Score]]&gt;=80,"High",tblStudents[[#This Row],[Average Score]]&gt;=60,"Meets Standard",TRUE,"At Risk")</f>
        <v>At Risk</v>
      </c>
      <c r="M97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975" spans="1:13" x14ac:dyDescent="0.25">
      <c r="A975" t="s">
        <v>0</v>
      </c>
      <c r="B975" t="s">
        <v>13</v>
      </c>
      <c r="C975" t="s">
        <v>6</v>
      </c>
      <c r="D975" t="s">
        <v>12</v>
      </c>
      <c r="E975" t="s">
        <v>4</v>
      </c>
      <c r="F975">
        <v>49</v>
      </c>
      <c r="G975">
        <v>65</v>
      </c>
      <c r="H975">
        <v>61</v>
      </c>
      <c r="I975" s="1">
        <f>AVERAGE(tblStudents[[#This Row],[Math Score]],tblStudents[[#This Row],[Reading Score]],tblStudents[[#This Row],[Writing Score]])</f>
        <v>58.333333333333336</v>
      </c>
      <c r="J975">
        <f>IF(tblStudents[[#This Row],[Average Score]]&gt;=60,1,0)</f>
        <v>0</v>
      </c>
      <c r="K975" t="str">
        <f>IF(tblStudents[[#This Row],[Average Score]]&gt;=60,"Pass","At Risk")</f>
        <v>At Risk</v>
      </c>
      <c r="L975" t="str" cm="1">
        <f t="array" ref="L975">_xlfn.IFS(tblStudents[[#This Row],[Average Score]]&gt;=80,"High",tblStudents[[#This Row],[Average Score]]&gt;=60,"Meets Standard",TRUE,"At Risk")</f>
        <v>At Risk</v>
      </c>
      <c r="M97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976" spans="1:13" x14ac:dyDescent="0.25">
      <c r="A976" t="s">
        <v>0</v>
      </c>
      <c r="B976" t="s">
        <v>10</v>
      </c>
      <c r="C976" t="s">
        <v>6</v>
      </c>
      <c r="D976" t="s">
        <v>3</v>
      </c>
      <c r="E976" t="s">
        <v>4</v>
      </c>
      <c r="F976">
        <v>54</v>
      </c>
      <c r="G976">
        <v>63</v>
      </c>
      <c r="H976">
        <v>67</v>
      </c>
      <c r="I976" s="1">
        <f>AVERAGE(tblStudents[[#This Row],[Math Score]],tblStudents[[#This Row],[Reading Score]],tblStudents[[#This Row],[Writing Score]])</f>
        <v>61.333333333333336</v>
      </c>
      <c r="J976">
        <f>IF(tblStudents[[#This Row],[Average Score]]&gt;=60,1,0)</f>
        <v>1</v>
      </c>
      <c r="K976" t="str">
        <f>IF(tblStudents[[#This Row],[Average Score]]&gt;=60,"Pass","At Risk")</f>
        <v>Pass</v>
      </c>
      <c r="L976" t="str" cm="1">
        <f t="array" ref="L976">_xlfn.IFS(tblStudents[[#This Row],[Average Score]]&gt;=80,"High",tblStudents[[#This Row],[Average Score]]&gt;=60,"Meets Standard",TRUE,"At Risk")</f>
        <v>Meets Standard</v>
      </c>
      <c r="M97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977" spans="1:13" x14ac:dyDescent="0.25">
      <c r="A977" t="s">
        <v>0</v>
      </c>
      <c r="B977" t="s">
        <v>5</v>
      </c>
      <c r="C977" t="s">
        <v>6</v>
      </c>
      <c r="D977" t="s">
        <v>3</v>
      </c>
      <c r="E977" t="s">
        <v>7</v>
      </c>
      <c r="F977">
        <v>64</v>
      </c>
      <c r="G977">
        <v>82</v>
      </c>
      <c r="H977">
        <v>77</v>
      </c>
      <c r="I977" s="1">
        <f>AVERAGE(tblStudents[[#This Row],[Math Score]],tblStudents[[#This Row],[Reading Score]],tblStudents[[#This Row],[Writing Score]])</f>
        <v>74.333333333333329</v>
      </c>
      <c r="J977">
        <f>IF(tblStudents[[#This Row],[Average Score]]&gt;=60,1,0)</f>
        <v>1</v>
      </c>
      <c r="K977" t="str">
        <f>IF(tblStudents[[#This Row],[Average Score]]&gt;=60,"Pass","At Risk")</f>
        <v>Pass</v>
      </c>
      <c r="L977" t="str" cm="1">
        <f t="array" ref="L977">_xlfn.IFS(tblStudents[[#This Row],[Average Score]]&gt;=80,"High",tblStudents[[#This Row],[Average Score]]&gt;=60,"Meets Standard",TRUE,"At Risk")</f>
        <v>Meets Standard</v>
      </c>
      <c r="M97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18</v>
      </c>
    </row>
    <row r="978" spans="1:13" x14ac:dyDescent="0.25">
      <c r="A978" t="s">
        <v>9</v>
      </c>
      <c r="B978" t="s">
        <v>1</v>
      </c>
      <c r="C978" t="s">
        <v>6</v>
      </c>
      <c r="D978" t="s">
        <v>12</v>
      </c>
      <c r="E978" t="s">
        <v>7</v>
      </c>
      <c r="F978">
        <v>60</v>
      </c>
      <c r="G978">
        <v>62</v>
      </c>
      <c r="H978">
        <v>60</v>
      </c>
      <c r="I978" s="1">
        <f>AVERAGE(tblStudents[[#This Row],[Math Score]],tblStudents[[#This Row],[Reading Score]],tblStudents[[#This Row],[Writing Score]])</f>
        <v>60.666666666666664</v>
      </c>
      <c r="J978">
        <f>IF(tblStudents[[#This Row],[Average Score]]&gt;=60,1,0)</f>
        <v>1</v>
      </c>
      <c r="K978" t="str">
        <f>IF(tblStudents[[#This Row],[Average Score]]&gt;=60,"Pass","At Risk")</f>
        <v>Pass</v>
      </c>
      <c r="L978" t="str" cm="1">
        <f t="array" ref="L978">_xlfn.IFS(tblStudents[[#This Row],[Average Score]]&gt;=80,"High",tblStudents[[#This Row],[Average Score]]&gt;=60,"Meets Standard",TRUE,"At Risk")</f>
        <v>Meets Standard</v>
      </c>
      <c r="M97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</v>
      </c>
    </row>
    <row r="979" spans="1:13" x14ac:dyDescent="0.25">
      <c r="A979" t="s">
        <v>9</v>
      </c>
      <c r="B979" t="s">
        <v>5</v>
      </c>
      <c r="C979" t="s">
        <v>11</v>
      </c>
      <c r="D979" t="s">
        <v>3</v>
      </c>
      <c r="E979" t="s">
        <v>4</v>
      </c>
      <c r="F979">
        <v>62</v>
      </c>
      <c r="G979">
        <v>65</v>
      </c>
      <c r="H979">
        <v>58</v>
      </c>
      <c r="I979" s="1">
        <f>AVERAGE(tblStudents[[#This Row],[Math Score]],tblStudents[[#This Row],[Reading Score]],tblStudents[[#This Row],[Writing Score]])</f>
        <v>61.666666666666664</v>
      </c>
      <c r="J979">
        <f>IF(tblStudents[[#This Row],[Average Score]]&gt;=60,1,0)</f>
        <v>1</v>
      </c>
      <c r="K979" t="str">
        <f>IF(tblStudents[[#This Row],[Average Score]]&gt;=60,"Pass","At Risk")</f>
        <v>Pass</v>
      </c>
      <c r="L979" t="str" cm="1">
        <f t="array" ref="L979">_xlfn.IFS(tblStudents[[#This Row],[Average Score]]&gt;=80,"High",tblStudents[[#This Row],[Average Score]]&gt;=60,"Meets Standard",TRUE,"At Risk")</f>
        <v>Meets Standard</v>
      </c>
      <c r="M97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80" spans="1:13" x14ac:dyDescent="0.25">
      <c r="A980" t="s">
        <v>9</v>
      </c>
      <c r="B980" t="s">
        <v>13</v>
      </c>
      <c r="C980" t="s">
        <v>14</v>
      </c>
      <c r="D980" t="s">
        <v>3</v>
      </c>
      <c r="E980" t="s">
        <v>7</v>
      </c>
      <c r="F980">
        <v>55</v>
      </c>
      <c r="G980">
        <v>41</v>
      </c>
      <c r="H980">
        <v>48</v>
      </c>
      <c r="I980" s="1">
        <f>AVERAGE(tblStudents[[#This Row],[Math Score]],tblStudents[[#This Row],[Reading Score]],tblStudents[[#This Row],[Writing Score]])</f>
        <v>48</v>
      </c>
      <c r="J980">
        <f>IF(tblStudents[[#This Row],[Average Score]]&gt;=60,1,0)</f>
        <v>0</v>
      </c>
      <c r="K980" t="str">
        <f>IF(tblStudents[[#This Row],[Average Score]]&gt;=60,"Pass","At Risk")</f>
        <v>At Risk</v>
      </c>
      <c r="L980" t="str" cm="1">
        <f t="array" ref="L980">_xlfn.IFS(tblStudents[[#This Row],[Average Score]]&gt;=80,"High",tblStudents[[#This Row],[Average Score]]&gt;=60,"Meets Standard",TRUE,"At Risk")</f>
        <v>At Risk</v>
      </c>
      <c r="M98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14</v>
      </c>
    </row>
    <row r="981" spans="1:13" x14ac:dyDescent="0.25">
      <c r="A981" t="s">
        <v>0</v>
      </c>
      <c r="B981" t="s">
        <v>5</v>
      </c>
      <c r="C981" t="s">
        <v>11</v>
      </c>
      <c r="D981" t="s">
        <v>3</v>
      </c>
      <c r="E981" t="s">
        <v>4</v>
      </c>
      <c r="F981">
        <v>91</v>
      </c>
      <c r="G981">
        <v>95</v>
      </c>
      <c r="H981">
        <v>94</v>
      </c>
      <c r="I981" s="1">
        <f>AVERAGE(tblStudents[[#This Row],[Math Score]],tblStudents[[#This Row],[Reading Score]],tblStudents[[#This Row],[Writing Score]])</f>
        <v>93.333333333333329</v>
      </c>
      <c r="J981">
        <f>IF(tblStudents[[#This Row],[Average Score]]&gt;=60,1,0)</f>
        <v>1</v>
      </c>
      <c r="K981" t="str">
        <f>IF(tblStudents[[#This Row],[Average Score]]&gt;=60,"Pass","At Risk")</f>
        <v>Pass</v>
      </c>
      <c r="L981" t="str" cm="1">
        <f t="array" ref="L981">_xlfn.IFS(tblStudents[[#This Row],[Average Score]]&gt;=80,"High",tblStudents[[#This Row],[Average Score]]&gt;=60,"Meets Standard",TRUE,"At Risk")</f>
        <v>High</v>
      </c>
      <c r="M98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4</v>
      </c>
    </row>
    <row r="982" spans="1:13" x14ac:dyDescent="0.25">
      <c r="A982" t="s">
        <v>0</v>
      </c>
      <c r="B982" t="s">
        <v>1</v>
      </c>
      <c r="C982" t="s">
        <v>14</v>
      </c>
      <c r="D982" t="s">
        <v>12</v>
      </c>
      <c r="E982" t="s">
        <v>4</v>
      </c>
      <c r="F982">
        <v>8</v>
      </c>
      <c r="G982">
        <v>24</v>
      </c>
      <c r="H982">
        <v>23</v>
      </c>
      <c r="I982" s="1">
        <f>AVERAGE(tblStudents[[#This Row],[Math Score]],tblStudents[[#This Row],[Reading Score]],tblStudents[[#This Row],[Writing Score]])</f>
        <v>18.333333333333332</v>
      </c>
      <c r="J982">
        <f>IF(tblStudents[[#This Row],[Average Score]]&gt;=60,1,0)</f>
        <v>0</v>
      </c>
      <c r="K982" t="str">
        <f>IF(tblStudents[[#This Row],[Average Score]]&gt;=60,"Pass","At Risk")</f>
        <v>At Risk</v>
      </c>
      <c r="L982" t="str" cm="1">
        <f t="array" ref="L982">_xlfn.IFS(tblStudents[[#This Row],[Average Score]]&gt;=80,"High",tblStudents[[#This Row],[Average Score]]&gt;=60,"Meets Standard",TRUE,"At Risk")</f>
        <v>At Risk</v>
      </c>
      <c r="M98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16</v>
      </c>
    </row>
    <row r="983" spans="1:13" x14ac:dyDescent="0.25">
      <c r="A983" t="s">
        <v>9</v>
      </c>
      <c r="B983" t="s">
        <v>13</v>
      </c>
      <c r="C983" t="s">
        <v>15</v>
      </c>
      <c r="D983" t="s">
        <v>3</v>
      </c>
      <c r="E983" t="s">
        <v>4</v>
      </c>
      <c r="F983">
        <v>81</v>
      </c>
      <c r="G983">
        <v>78</v>
      </c>
      <c r="H983">
        <v>78</v>
      </c>
      <c r="I983" s="1">
        <f>AVERAGE(tblStudents[[#This Row],[Math Score]],tblStudents[[#This Row],[Reading Score]],tblStudents[[#This Row],[Writing Score]])</f>
        <v>79</v>
      </c>
      <c r="J983">
        <f>IF(tblStudents[[#This Row],[Average Score]]&gt;=60,1,0)</f>
        <v>1</v>
      </c>
      <c r="K983" t="str">
        <f>IF(tblStudents[[#This Row],[Average Score]]&gt;=60,"Pass","At Risk")</f>
        <v>Pass</v>
      </c>
      <c r="L983" t="str" cm="1">
        <f t="array" ref="L983">_xlfn.IFS(tblStudents[[#This Row],[Average Score]]&gt;=80,"High",tblStudents[[#This Row],[Average Score]]&gt;=60,"Meets Standard",TRUE,"At Risk")</f>
        <v>Meets Standard</v>
      </c>
      <c r="M98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3</v>
      </c>
    </row>
    <row r="984" spans="1:13" x14ac:dyDescent="0.25">
      <c r="A984" t="s">
        <v>9</v>
      </c>
      <c r="B984" t="s">
        <v>1</v>
      </c>
      <c r="C984" t="s">
        <v>15</v>
      </c>
      <c r="D984" t="s">
        <v>3</v>
      </c>
      <c r="E984" t="s">
        <v>7</v>
      </c>
      <c r="F984">
        <v>79</v>
      </c>
      <c r="G984">
        <v>85</v>
      </c>
      <c r="H984">
        <v>86</v>
      </c>
      <c r="I984" s="1">
        <f>AVERAGE(tblStudents[[#This Row],[Math Score]],tblStudents[[#This Row],[Reading Score]],tblStudents[[#This Row],[Writing Score]])</f>
        <v>83.333333333333329</v>
      </c>
      <c r="J984">
        <f>IF(tblStudents[[#This Row],[Average Score]]&gt;=60,1,0)</f>
        <v>1</v>
      </c>
      <c r="K984" t="str">
        <f>IF(tblStudents[[#This Row],[Average Score]]&gt;=60,"Pass","At Risk")</f>
        <v>Pass</v>
      </c>
      <c r="L984" t="str" cm="1">
        <f t="array" ref="L984">_xlfn.IFS(tblStudents[[#This Row],[Average Score]]&gt;=80,"High",tblStudents[[#This Row],[Average Score]]&gt;=60,"Meets Standard",TRUE,"At Risk")</f>
        <v>High</v>
      </c>
      <c r="M98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85" spans="1:13" x14ac:dyDescent="0.25">
      <c r="A985" t="s">
        <v>0</v>
      </c>
      <c r="B985" t="s">
        <v>10</v>
      </c>
      <c r="C985" t="s">
        <v>6</v>
      </c>
      <c r="D985" t="s">
        <v>3</v>
      </c>
      <c r="E985" t="s">
        <v>7</v>
      </c>
      <c r="F985">
        <v>78</v>
      </c>
      <c r="G985">
        <v>87</v>
      </c>
      <c r="H985">
        <v>91</v>
      </c>
      <c r="I985" s="1">
        <f>AVERAGE(tblStudents[[#This Row],[Math Score]],tblStudents[[#This Row],[Reading Score]],tblStudents[[#This Row],[Writing Score]])</f>
        <v>85.333333333333329</v>
      </c>
      <c r="J985">
        <f>IF(tblStudents[[#This Row],[Average Score]]&gt;=60,1,0)</f>
        <v>1</v>
      </c>
      <c r="K985" t="str">
        <f>IF(tblStudents[[#This Row],[Average Score]]&gt;=60,"Pass","At Risk")</f>
        <v>Pass</v>
      </c>
      <c r="L985" t="str" cm="1">
        <f t="array" ref="L985">_xlfn.IFS(tblStudents[[#This Row],[Average Score]]&gt;=80,"High",tblStudents[[#This Row],[Average Score]]&gt;=60,"Meets Standard",TRUE,"At Risk")</f>
        <v>High</v>
      </c>
      <c r="M98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13</v>
      </c>
    </row>
    <row r="986" spans="1:13" x14ac:dyDescent="0.25">
      <c r="A986" t="s">
        <v>0</v>
      </c>
      <c r="B986" t="s">
        <v>5</v>
      </c>
      <c r="C986" t="s">
        <v>15</v>
      </c>
      <c r="D986" t="s">
        <v>3</v>
      </c>
      <c r="E986" t="s">
        <v>4</v>
      </c>
      <c r="F986">
        <v>74</v>
      </c>
      <c r="G986">
        <v>75</v>
      </c>
      <c r="H986">
        <v>82</v>
      </c>
      <c r="I986" s="1">
        <f>AVERAGE(tblStudents[[#This Row],[Math Score]],tblStudents[[#This Row],[Reading Score]],tblStudents[[#This Row],[Writing Score]])</f>
        <v>77</v>
      </c>
      <c r="J986">
        <f>IF(tblStudents[[#This Row],[Average Score]]&gt;=60,1,0)</f>
        <v>1</v>
      </c>
      <c r="K986" t="str">
        <f>IF(tblStudents[[#This Row],[Average Score]]&gt;=60,"Pass","At Risk")</f>
        <v>Pass</v>
      </c>
      <c r="L986" t="str" cm="1">
        <f t="array" ref="L986">_xlfn.IFS(tblStudents[[#This Row],[Average Score]]&gt;=80,"High",tblStudents[[#This Row],[Average Score]]&gt;=60,"Meets Standard",TRUE,"At Risk")</f>
        <v>Meets Standard</v>
      </c>
      <c r="M98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8</v>
      </c>
    </row>
    <row r="987" spans="1:13" x14ac:dyDescent="0.25">
      <c r="A987" t="s">
        <v>9</v>
      </c>
      <c r="B987" t="s">
        <v>10</v>
      </c>
      <c r="C987" t="s">
        <v>14</v>
      </c>
      <c r="D987" t="s">
        <v>3</v>
      </c>
      <c r="E987" t="s">
        <v>4</v>
      </c>
      <c r="F987">
        <v>57</v>
      </c>
      <c r="G987">
        <v>51</v>
      </c>
      <c r="H987">
        <v>54</v>
      </c>
      <c r="I987" s="1">
        <f>AVERAGE(tblStudents[[#This Row],[Math Score]],tblStudents[[#This Row],[Reading Score]],tblStudents[[#This Row],[Writing Score]])</f>
        <v>54</v>
      </c>
      <c r="J987">
        <f>IF(tblStudents[[#This Row],[Average Score]]&gt;=60,1,0)</f>
        <v>0</v>
      </c>
      <c r="K987" t="str">
        <f>IF(tblStudents[[#This Row],[Average Score]]&gt;=60,"Pass","At Risk")</f>
        <v>At Risk</v>
      </c>
      <c r="L987" t="str" cm="1">
        <f t="array" ref="L987">_xlfn.IFS(tblStudents[[#This Row],[Average Score]]&gt;=80,"High",tblStudents[[#This Row],[Average Score]]&gt;=60,"Meets Standard",TRUE,"At Risk")</f>
        <v>At Risk</v>
      </c>
      <c r="M98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88" spans="1:13" x14ac:dyDescent="0.25">
      <c r="A988" t="s">
        <v>0</v>
      </c>
      <c r="B988" t="s">
        <v>5</v>
      </c>
      <c r="C988" t="s">
        <v>11</v>
      </c>
      <c r="D988" t="s">
        <v>3</v>
      </c>
      <c r="E988" t="s">
        <v>4</v>
      </c>
      <c r="F988">
        <v>40</v>
      </c>
      <c r="G988">
        <v>59</v>
      </c>
      <c r="H988">
        <v>51</v>
      </c>
      <c r="I988" s="1">
        <f>AVERAGE(tblStudents[[#This Row],[Math Score]],tblStudents[[#This Row],[Reading Score]],tblStudents[[#This Row],[Writing Score]])</f>
        <v>50</v>
      </c>
      <c r="J988">
        <f>IF(tblStudents[[#This Row],[Average Score]]&gt;=60,1,0)</f>
        <v>0</v>
      </c>
      <c r="K988" t="str">
        <f>IF(tblStudents[[#This Row],[Average Score]]&gt;=60,"Pass","At Risk")</f>
        <v>At Risk</v>
      </c>
      <c r="L988" t="str" cm="1">
        <f t="array" ref="L988">_xlfn.IFS(tblStudents[[#This Row],[Average Score]]&gt;=80,"High",tblStudents[[#This Row],[Average Score]]&gt;=60,"Meets Standard",TRUE,"At Risk")</f>
        <v>At Risk</v>
      </c>
      <c r="M98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989" spans="1:13" x14ac:dyDescent="0.25">
      <c r="A989" t="s">
        <v>9</v>
      </c>
      <c r="B989" t="s">
        <v>16</v>
      </c>
      <c r="C989" t="s">
        <v>15</v>
      </c>
      <c r="D989" t="s">
        <v>3</v>
      </c>
      <c r="E989" t="s">
        <v>7</v>
      </c>
      <c r="F989">
        <v>81</v>
      </c>
      <c r="G989">
        <v>75</v>
      </c>
      <c r="H989">
        <v>76</v>
      </c>
      <c r="I989" s="1">
        <f>AVERAGE(tblStudents[[#This Row],[Math Score]],tblStudents[[#This Row],[Reading Score]],tblStudents[[#This Row],[Writing Score]])</f>
        <v>77.333333333333329</v>
      </c>
      <c r="J989">
        <f>IF(tblStudents[[#This Row],[Average Score]]&gt;=60,1,0)</f>
        <v>1</v>
      </c>
      <c r="K989" t="str">
        <f>IF(tblStudents[[#This Row],[Average Score]]&gt;=60,"Pass","At Risk")</f>
        <v>Pass</v>
      </c>
      <c r="L989" t="str" cm="1">
        <f t="array" ref="L989">_xlfn.IFS(tblStudents[[#This Row],[Average Score]]&gt;=80,"High",tblStudents[[#This Row],[Average Score]]&gt;=60,"Meets Standard",TRUE,"At Risk")</f>
        <v>Meets Standard</v>
      </c>
      <c r="M98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6</v>
      </c>
    </row>
    <row r="990" spans="1:13" x14ac:dyDescent="0.25">
      <c r="A990" t="s">
        <v>0</v>
      </c>
      <c r="B990" t="s">
        <v>10</v>
      </c>
      <c r="C990" t="s">
        <v>15</v>
      </c>
      <c r="D990" t="s">
        <v>12</v>
      </c>
      <c r="E990" t="s">
        <v>4</v>
      </c>
      <c r="F990">
        <v>44</v>
      </c>
      <c r="G990">
        <v>45</v>
      </c>
      <c r="H990">
        <v>45</v>
      </c>
      <c r="I990" s="1">
        <f>AVERAGE(tblStudents[[#This Row],[Math Score]],tblStudents[[#This Row],[Reading Score]],tblStudents[[#This Row],[Writing Score]])</f>
        <v>44.666666666666664</v>
      </c>
      <c r="J990">
        <f>IF(tblStudents[[#This Row],[Average Score]]&gt;=60,1,0)</f>
        <v>0</v>
      </c>
      <c r="K990" t="str">
        <f>IF(tblStudents[[#This Row],[Average Score]]&gt;=60,"Pass","At Risk")</f>
        <v>At Risk</v>
      </c>
      <c r="L990" t="str" cm="1">
        <f t="array" ref="L990">_xlfn.IFS(tblStudents[[#This Row],[Average Score]]&gt;=80,"High",tblStudents[[#This Row],[Average Score]]&gt;=60,"Meets Standard",TRUE,"At Risk")</f>
        <v>At Risk</v>
      </c>
      <c r="M99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991" spans="1:13" x14ac:dyDescent="0.25">
      <c r="A991" t="s">
        <v>0</v>
      </c>
      <c r="B991" t="s">
        <v>13</v>
      </c>
      <c r="C991" t="s">
        <v>6</v>
      </c>
      <c r="D991" t="s">
        <v>12</v>
      </c>
      <c r="E991" t="s">
        <v>7</v>
      </c>
      <c r="F991">
        <v>67</v>
      </c>
      <c r="G991">
        <v>86</v>
      </c>
      <c r="H991">
        <v>83</v>
      </c>
      <c r="I991" s="1">
        <f>AVERAGE(tblStudents[[#This Row],[Math Score]],tblStudents[[#This Row],[Reading Score]],tblStudents[[#This Row],[Writing Score]])</f>
        <v>78.666666666666671</v>
      </c>
      <c r="J991">
        <f>IF(tblStudents[[#This Row],[Average Score]]&gt;=60,1,0)</f>
        <v>1</v>
      </c>
      <c r="K991" t="str">
        <f>IF(tblStudents[[#This Row],[Average Score]]&gt;=60,"Pass","At Risk")</f>
        <v>Pass</v>
      </c>
      <c r="L991" t="str" cm="1">
        <f t="array" ref="L991">_xlfn.IFS(tblStudents[[#This Row],[Average Score]]&gt;=80,"High",tblStudents[[#This Row],[Average Score]]&gt;=60,"Meets Standard",TRUE,"At Risk")</f>
        <v>Meets Standard</v>
      </c>
      <c r="M99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19</v>
      </c>
    </row>
    <row r="992" spans="1:13" x14ac:dyDescent="0.25">
      <c r="A992" t="s">
        <v>9</v>
      </c>
      <c r="B992" t="s">
        <v>16</v>
      </c>
      <c r="C992" t="s">
        <v>14</v>
      </c>
      <c r="D992" t="s">
        <v>12</v>
      </c>
      <c r="E992" t="s">
        <v>7</v>
      </c>
      <c r="F992">
        <v>86</v>
      </c>
      <c r="G992">
        <v>81</v>
      </c>
      <c r="H992">
        <v>75</v>
      </c>
      <c r="I992" s="1">
        <f>AVERAGE(tblStudents[[#This Row],[Math Score]],tblStudents[[#This Row],[Reading Score]],tblStudents[[#This Row],[Writing Score]])</f>
        <v>80.666666666666671</v>
      </c>
      <c r="J992">
        <f>IF(tblStudents[[#This Row],[Average Score]]&gt;=60,1,0)</f>
        <v>1</v>
      </c>
      <c r="K992" t="str">
        <f>IF(tblStudents[[#This Row],[Average Score]]&gt;=60,"Pass","At Risk")</f>
        <v>Pass</v>
      </c>
      <c r="L992" t="str" cm="1">
        <f t="array" ref="L992">_xlfn.IFS(tblStudents[[#This Row],[Average Score]]&gt;=80,"High",tblStudents[[#This Row],[Average Score]]&gt;=60,"Meets Standard",TRUE,"At Risk")</f>
        <v>High</v>
      </c>
      <c r="M992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93" spans="1:13" x14ac:dyDescent="0.25">
      <c r="A993" t="s">
        <v>0</v>
      </c>
      <c r="B993" t="s">
        <v>1</v>
      </c>
      <c r="C993" t="s">
        <v>15</v>
      </c>
      <c r="D993" t="s">
        <v>3</v>
      </c>
      <c r="E993" t="s">
        <v>7</v>
      </c>
      <c r="F993">
        <v>65</v>
      </c>
      <c r="G993">
        <v>82</v>
      </c>
      <c r="H993">
        <v>78</v>
      </c>
      <c r="I993" s="1">
        <f>AVERAGE(tblStudents[[#This Row],[Math Score]],tblStudents[[#This Row],[Reading Score]],tblStudents[[#This Row],[Writing Score]])</f>
        <v>75</v>
      </c>
      <c r="J993">
        <f>IF(tblStudents[[#This Row],[Average Score]]&gt;=60,1,0)</f>
        <v>1</v>
      </c>
      <c r="K993" t="str">
        <f>IF(tblStudents[[#This Row],[Average Score]]&gt;=60,"Pass","At Risk")</f>
        <v>Pass</v>
      </c>
      <c r="L993" t="str" cm="1">
        <f t="array" ref="L993">_xlfn.IFS(tblStudents[[#This Row],[Average Score]]&gt;=80,"High",tblStudents[[#This Row],[Average Score]]&gt;=60,"Meets Standard",TRUE,"At Risk")</f>
        <v>Meets Standard</v>
      </c>
      <c r="M993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17</v>
      </c>
    </row>
    <row r="994" spans="1:13" x14ac:dyDescent="0.25">
      <c r="A994" t="s">
        <v>0</v>
      </c>
      <c r="B994" t="s">
        <v>13</v>
      </c>
      <c r="C994" t="s">
        <v>11</v>
      </c>
      <c r="D994" t="s">
        <v>12</v>
      </c>
      <c r="E994" t="s">
        <v>4</v>
      </c>
      <c r="F994">
        <v>55</v>
      </c>
      <c r="G994">
        <v>76</v>
      </c>
      <c r="H994">
        <v>76</v>
      </c>
      <c r="I994" s="1">
        <f>AVERAGE(tblStudents[[#This Row],[Math Score]],tblStudents[[#This Row],[Reading Score]],tblStudents[[#This Row],[Writing Score]])</f>
        <v>69</v>
      </c>
      <c r="J994">
        <f>IF(tblStudents[[#This Row],[Average Score]]&gt;=60,1,0)</f>
        <v>1</v>
      </c>
      <c r="K994" t="str">
        <f>IF(tblStudents[[#This Row],[Average Score]]&gt;=60,"Pass","At Risk")</f>
        <v>Pass</v>
      </c>
      <c r="L994" t="str" cm="1">
        <f t="array" ref="L994">_xlfn.IFS(tblStudents[[#This Row],[Average Score]]&gt;=80,"High",tblStudents[[#This Row],[Average Score]]&gt;=60,"Meets Standard",TRUE,"At Risk")</f>
        <v>Meets Standard</v>
      </c>
      <c r="M994">
        <f>MAX(tblStudents[[#This Row],[Math Score]],tblStudents[[#This Row],[Reading Score]],tblStudents[[#This Row],[Writing Score]])-MIN(tblStudents[[#This Row],[Math Score]],tblStudents[[#This Row],[Reading Score]],tblStudents[[#This Row],[Writing Score]])</f>
        <v>21</v>
      </c>
    </row>
    <row r="995" spans="1:13" x14ac:dyDescent="0.25">
      <c r="A995" t="s">
        <v>0</v>
      </c>
      <c r="B995" t="s">
        <v>13</v>
      </c>
      <c r="C995" t="s">
        <v>2</v>
      </c>
      <c r="D995" t="s">
        <v>12</v>
      </c>
      <c r="E995" t="s">
        <v>4</v>
      </c>
      <c r="F995">
        <v>62</v>
      </c>
      <c r="G995">
        <v>72</v>
      </c>
      <c r="H995">
        <v>74</v>
      </c>
      <c r="I995" s="1">
        <f>AVERAGE(tblStudents[[#This Row],[Math Score]],tblStudents[[#This Row],[Reading Score]],tblStudents[[#This Row],[Writing Score]])</f>
        <v>69.333333333333329</v>
      </c>
      <c r="J995">
        <f>IF(tblStudents[[#This Row],[Average Score]]&gt;=60,1,0)</f>
        <v>1</v>
      </c>
      <c r="K995" t="str">
        <f>IF(tblStudents[[#This Row],[Average Score]]&gt;=60,"Pass","At Risk")</f>
        <v>Pass</v>
      </c>
      <c r="L995" t="str" cm="1">
        <f t="array" ref="L995">_xlfn.IFS(tblStudents[[#This Row],[Average Score]]&gt;=80,"High",tblStudents[[#This Row],[Average Score]]&gt;=60,"Meets Standard",TRUE,"At Risk")</f>
        <v>Meets Standard</v>
      </c>
      <c r="M995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996" spans="1:13" x14ac:dyDescent="0.25">
      <c r="A996" t="s">
        <v>9</v>
      </c>
      <c r="B996" t="s">
        <v>10</v>
      </c>
      <c r="C996" t="s">
        <v>14</v>
      </c>
      <c r="D996" t="s">
        <v>3</v>
      </c>
      <c r="E996" t="s">
        <v>4</v>
      </c>
      <c r="F996">
        <v>63</v>
      </c>
      <c r="G996">
        <v>63</v>
      </c>
      <c r="H996">
        <v>62</v>
      </c>
      <c r="I996" s="1">
        <f>AVERAGE(tblStudents[[#This Row],[Math Score]],tblStudents[[#This Row],[Reading Score]],tblStudents[[#This Row],[Writing Score]])</f>
        <v>62.666666666666664</v>
      </c>
      <c r="J996">
        <f>IF(tblStudents[[#This Row],[Average Score]]&gt;=60,1,0)</f>
        <v>1</v>
      </c>
      <c r="K996" t="str">
        <f>IF(tblStudents[[#This Row],[Average Score]]&gt;=60,"Pass","At Risk")</f>
        <v>Pass</v>
      </c>
      <c r="L996" t="str" cm="1">
        <f t="array" ref="L996">_xlfn.IFS(tblStudents[[#This Row],[Average Score]]&gt;=80,"High",tblStudents[[#This Row],[Average Score]]&gt;=60,"Meets Standard",TRUE,"At Risk")</f>
        <v>Meets Standard</v>
      </c>
      <c r="M996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</v>
      </c>
    </row>
    <row r="997" spans="1:13" x14ac:dyDescent="0.25">
      <c r="A997" t="s">
        <v>0</v>
      </c>
      <c r="B997" t="s">
        <v>16</v>
      </c>
      <c r="C997" t="s">
        <v>8</v>
      </c>
      <c r="D997" t="s">
        <v>3</v>
      </c>
      <c r="E997" t="s">
        <v>7</v>
      </c>
      <c r="F997">
        <v>88</v>
      </c>
      <c r="G997">
        <v>99</v>
      </c>
      <c r="H997">
        <v>95</v>
      </c>
      <c r="I997" s="1">
        <f>AVERAGE(tblStudents[[#This Row],[Math Score]],tblStudents[[#This Row],[Reading Score]],tblStudents[[#This Row],[Writing Score]])</f>
        <v>94</v>
      </c>
      <c r="J997">
        <f>IF(tblStudents[[#This Row],[Average Score]]&gt;=60,1,0)</f>
        <v>1</v>
      </c>
      <c r="K997" t="str">
        <f>IF(tblStudents[[#This Row],[Average Score]]&gt;=60,"Pass","At Risk")</f>
        <v>Pass</v>
      </c>
      <c r="L997" t="str" cm="1">
        <f t="array" ref="L997">_xlfn.IFS(tblStudents[[#This Row],[Average Score]]&gt;=80,"High",tblStudents[[#This Row],[Average Score]]&gt;=60,"Meets Standard",TRUE,"At Risk")</f>
        <v>High</v>
      </c>
      <c r="M997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11</v>
      </c>
    </row>
    <row r="998" spans="1:13" x14ac:dyDescent="0.25">
      <c r="A998" t="s">
        <v>9</v>
      </c>
      <c r="B998" t="s">
        <v>5</v>
      </c>
      <c r="C998" t="s">
        <v>14</v>
      </c>
      <c r="D998" t="s">
        <v>12</v>
      </c>
      <c r="E998" t="s">
        <v>4</v>
      </c>
      <c r="F998">
        <v>62</v>
      </c>
      <c r="G998">
        <v>55</v>
      </c>
      <c r="H998">
        <v>55</v>
      </c>
      <c r="I998" s="1">
        <f>AVERAGE(tblStudents[[#This Row],[Math Score]],tblStudents[[#This Row],[Reading Score]],tblStudents[[#This Row],[Writing Score]])</f>
        <v>57.333333333333336</v>
      </c>
      <c r="J998">
        <f>IF(tblStudents[[#This Row],[Average Score]]&gt;=60,1,0)</f>
        <v>0</v>
      </c>
      <c r="K998" t="str">
        <f>IF(tblStudents[[#This Row],[Average Score]]&gt;=60,"Pass","At Risk")</f>
        <v>At Risk</v>
      </c>
      <c r="L998" t="str" cm="1">
        <f t="array" ref="L998">_xlfn.IFS(tblStudents[[#This Row],[Average Score]]&gt;=80,"High",tblStudents[[#This Row],[Average Score]]&gt;=60,"Meets Standard",TRUE,"At Risk")</f>
        <v>At Risk</v>
      </c>
      <c r="M998">
        <f>MAX(tblStudents[[#This Row],[Math Score]],tblStudents[[#This Row],[Reading Score]],tblStudents[[#This Row],[Writing Score]])-MIN(tblStudents[[#This Row],[Math Score]],tblStudents[[#This Row],[Reading Score]],tblStudents[[#This Row],[Writing Score]])</f>
        <v>7</v>
      </c>
    </row>
    <row r="999" spans="1:13" x14ac:dyDescent="0.25">
      <c r="A999" t="s">
        <v>0</v>
      </c>
      <c r="B999" t="s">
        <v>5</v>
      </c>
      <c r="C999" t="s">
        <v>14</v>
      </c>
      <c r="D999" t="s">
        <v>12</v>
      </c>
      <c r="E999" t="s">
        <v>7</v>
      </c>
      <c r="F999">
        <v>59</v>
      </c>
      <c r="G999">
        <v>71</v>
      </c>
      <c r="H999">
        <v>65</v>
      </c>
      <c r="I999" s="1">
        <f>AVERAGE(tblStudents[[#This Row],[Math Score]],tblStudents[[#This Row],[Reading Score]],tblStudents[[#This Row],[Writing Score]])</f>
        <v>65</v>
      </c>
      <c r="J999">
        <f>IF(tblStudents[[#This Row],[Average Score]]&gt;=60,1,0)</f>
        <v>1</v>
      </c>
      <c r="K999" t="str">
        <f>IF(tblStudents[[#This Row],[Average Score]]&gt;=60,"Pass","At Risk")</f>
        <v>Pass</v>
      </c>
      <c r="L999" t="str" cm="1">
        <f t="array" ref="L999">_xlfn.IFS(tblStudents[[#This Row],[Average Score]]&gt;=80,"High",tblStudents[[#This Row],[Average Score]]&gt;=60,"Meets Standard",TRUE,"At Risk")</f>
        <v>Meets Standard</v>
      </c>
      <c r="M999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12</v>
      </c>
    </row>
    <row r="1000" spans="1:13" x14ac:dyDescent="0.25">
      <c r="A1000" t="s">
        <v>0</v>
      </c>
      <c r="B1000" t="s">
        <v>13</v>
      </c>
      <c r="C1000" t="s">
        <v>6</v>
      </c>
      <c r="D1000" t="s">
        <v>3</v>
      </c>
      <c r="E1000" t="s">
        <v>7</v>
      </c>
      <c r="F1000">
        <v>68</v>
      </c>
      <c r="G1000">
        <v>78</v>
      </c>
      <c r="H1000">
        <v>77</v>
      </c>
      <c r="I1000" s="1">
        <f>AVERAGE(tblStudents[[#This Row],[Math Score]],tblStudents[[#This Row],[Reading Score]],tblStudents[[#This Row],[Writing Score]])</f>
        <v>74.333333333333329</v>
      </c>
      <c r="J1000">
        <f>IF(tblStudents[[#This Row],[Average Score]]&gt;=60,1,0)</f>
        <v>1</v>
      </c>
      <c r="K1000" t="str">
        <f>IF(tblStudents[[#This Row],[Average Score]]&gt;=60,"Pass","At Risk")</f>
        <v>Pass</v>
      </c>
      <c r="L1000" t="str" cm="1">
        <f t="array" ref="L1000">_xlfn.IFS(tblStudents[[#This Row],[Average Score]]&gt;=80,"High",tblStudents[[#This Row],[Average Score]]&gt;=60,"Meets Standard",TRUE,"At Risk")</f>
        <v>Meets Standard</v>
      </c>
      <c r="M1000">
        <f>MAX(tblStudents[[#This Row],[Math Score]],tblStudents[[#This Row],[Reading Score]],tblStudents[[#This Row],[Writing Score]])-MIN(tblStudents[[#This Row],[Math Score]],tblStudents[[#This Row],[Reading Score]],tblStudents[[#This Row],[Writing Score]])</f>
        <v>10</v>
      </c>
    </row>
    <row r="1001" spans="1:13" x14ac:dyDescent="0.25">
      <c r="A1001" t="s">
        <v>0</v>
      </c>
      <c r="B1001" t="s">
        <v>13</v>
      </c>
      <c r="C1001" t="s">
        <v>6</v>
      </c>
      <c r="D1001" t="s">
        <v>12</v>
      </c>
      <c r="E1001" t="s">
        <v>4</v>
      </c>
      <c r="F1001">
        <v>77</v>
      </c>
      <c r="G1001">
        <v>86</v>
      </c>
      <c r="H1001">
        <v>86</v>
      </c>
      <c r="I1001" s="1">
        <f>AVERAGE(tblStudents[[#This Row],[Math Score]],tblStudents[[#This Row],[Reading Score]],tblStudents[[#This Row],[Writing Score]])</f>
        <v>83</v>
      </c>
      <c r="J1001">
        <f>IF(tblStudents[[#This Row],[Average Score]]&gt;=60,1,0)</f>
        <v>1</v>
      </c>
      <c r="K1001" t="str">
        <f>IF(tblStudents[[#This Row],[Average Score]]&gt;=60,"Pass","At Risk")</f>
        <v>Pass</v>
      </c>
      <c r="L1001" t="str" cm="1">
        <f t="array" ref="L1001">_xlfn.IFS(tblStudents[[#This Row],[Average Score]]&gt;=80,"High",tblStudents[[#This Row],[Average Score]]&gt;=60,"Meets Standard",TRUE,"At Risk")</f>
        <v>High</v>
      </c>
      <c r="M1001">
        <f>MAX(tblStudents[[#This Row],[Math Score]],tblStudents[[#This Row],[Reading Score]],tblStudents[[#This Row],[Writing Score]])-MIN(tblStudents[[#This Row],[Math Score]],tblStudents[[#This Row],[Reading Score]],tblStudents[[#This Row],[Writing Score]])</f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2040-CBA1-4544-8883-4FACD27DF120}">
  <dimension ref="A1:K17"/>
  <sheetViews>
    <sheetView workbookViewId="0">
      <selection activeCell="B26" sqref="B26"/>
    </sheetView>
  </sheetViews>
  <sheetFormatPr defaultRowHeight="15" x14ac:dyDescent="0.25"/>
  <cols>
    <col min="1" max="1" width="20" bestFit="1" customWidth="1"/>
    <col min="2" max="2" width="14.28515625" bestFit="1" customWidth="1"/>
    <col min="3" max="3" width="8.28515625" bestFit="1" customWidth="1"/>
    <col min="4" max="4" width="20.42578125" bestFit="1" customWidth="1"/>
    <col min="5" max="5" width="9.7109375" bestFit="1" customWidth="1"/>
    <col min="6" max="6" width="5.42578125" bestFit="1" customWidth="1"/>
    <col min="7" max="7" width="8.28515625" bestFit="1" customWidth="1"/>
    <col min="8" max="10" width="9.7109375" customWidth="1"/>
    <col min="11" max="11" width="7.5703125" bestFit="1" customWidth="1"/>
  </cols>
  <sheetData>
    <row r="1" spans="1:11" ht="15.75" x14ac:dyDescent="0.25">
      <c r="A1" s="15" t="s">
        <v>31</v>
      </c>
      <c r="B1" s="15"/>
      <c r="D1" s="14" t="s">
        <v>35</v>
      </c>
      <c r="E1" s="14"/>
      <c r="H1" s="15" t="s">
        <v>41</v>
      </c>
      <c r="I1" s="15"/>
      <c r="J1" s="15"/>
      <c r="K1" s="5"/>
    </row>
    <row r="2" spans="1:11" x14ac:dyDescent="0.25">
      <c r="A2" s="2" t="s">
        <v>37</v>
      </c>
      <c r="B2" t="s">
        <v>30</v>
      </c>
      <c r="D2" s="2" t="s">
        <v>36</v>
      </c>
      <c r="E2" t="s">
        <v>30</v>
      </c>
      <c r="H2" t="s">
        <v>38</v>
      </c>
      <c r="I2" t="s">
        <v>39</v>
      </c>
      <c r="J2" t="s">
        <v>40</v>
      </c>
    </row>
    <row r="3" spans="1:11" x14ac:dyDescent="0.25">
      <c r="A3" s="3" t="s">
        <v>7</v>
      </c>
      <c r="B3" s="1">
        <v>72.669459962756051</v>
      </c>
      <c r="D3" s="3" t="s">
        <v>12</v>
      </c>
      <c r="E3" s="1">
        <v>62.199061032863845</v>
      </c>
      <c r="H3" s="1">
        <v>66.088999999999999</v>
      </c>
      <c r="I3" s="1">
        <v>69.168999999999997</v>
      </c>
      <c r="J3" s="1">
        <v>68.054000000000002</v>
      </c>
    </row>
    <row r="4" spans="1:11" x14ac:dyDescent="0.25">
      <c r="A4" s="3" t="s">
        <v>4</v>
      </c>
      <c r="B4" s="1">
        <v>65.038940809968878</v>
      </c>
      <c r="D4" s="3" t="s">
        <v>3</v>
      </c>
      <c r="E4" s="1">
        <v>70.837209302325633</v>
      </c>
    </row>
    <row r="10" spans="1:11" ht="15.75" x14ac:dyDescent="0.25">
      <c r="A10" s="14" t="s">
        <v>43</v>
      </c>
      <c r="B10" s="14"/>
      <c r="D10" s="14" t="s">
        <v>42</v>
      </c>
      <c r="E10" s="14"/>
    </row>
    <row r="11" spans="1:11" x14ac:dyDescent="0.25">
      <c r="A11" s="2" t="s">
        <v>45</v>
      </c>
      <c r="B11" t="s">
        <v>44</v>
      </c>
      <c r="D11" s="2" t="s">
        <v>46</v>
      </c>
      <c r="E11" t="s">
        <v>47</v>
      </c>
    </row>
    <row r="12" spans="1:11" x14ac:dyDescent="0.25">
      <c r="A12" s="3" t="s">
        <v>32</v>
      </c>
      <c r="B12">
        <v>285</v>
      </c>
      <c r="D12" s="3" t="s">
        <v>11</v>
      </c>
      <c r="E12" s="4">
        <v>0.73423423423423428</v>
      </c>
    </row>
    <row r="13" spans="1:11" x14ac:dyDescent="0.25">
      <c r="A13" s="3" t="s">
        <v>33</v>
      </c>
      <c r="B13">
        <v>198</v>
      </c>
      <c r="D13" s="3" t="s">
        <v>2</v>
      </c>
      <c r="E13" s="4">
        <v>0.82203389830508478</v>
      </c>
    </row>
    <row r="14" spans="1:11" x14ac:dyDescent="0.25">
      <c r="A14" s="3" t="s">
        <v>34</v>
      </c>
      <c r="B14">
        <v>517</v>
      </c>
      <c r="D14" s="3" t="s">
        <v>14</v>
      </c>
      <c r="E14" s="4">
        <v>0.61224489795918369</v>
      </c>
    </row>
    <row r="15" spans="1:11" x14ac:dyDescent="0.25">
      <c r="D15" s="3" t="s">
        <v>8</v>
      </c>
      <c r="E15" s="4">
        <v>0.83050847457627119</v>
      </c>
    </row>
    <row r="16" spans="1:11" x14ac:dyDescent="0.25">
      <c r="D16" s="3" t="s">
        <v>6</v>
      </c>
      <c r="E16" s="4">
        <v>0.75663716814159288</v>
      </c>
    </row>
    <row r="17" spans="4:5" x14ac:dyDescent="0.25">
      <c r="D17" s="3" t="s">
        <v>15</v>
      </c>
      <c r="E17" s="4">
        <v>0.64245810055865926</v>
      </c>
    </row>
  </sheetData>
  <mergeCells count="5">
    <mergeCell ref="D1:E1"/>
    <mergeCell ref="H1:J1"/>
    <mergeCell ref="A1:B1"/>
    <mergeCell ref="D10:E10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C13B-AA1C-4D1B-BCC5-A63E6E880035}">
  <dimension ref="A1:K5"/>
  <sheetViews>
    <sheetView showGridLines="0" tabSelected="1" workbookViewId="0">
      <selection activeCell="U21" sqref="U21"/>
    </sheetView>
  </sheetViews>
  <sheetFormatPr defaultRowHeight="15" x14ac:dyDescent="0.25"/>
  <cols>
    <col min="1" max="1" width="16.140625" customWidth="1"/>
    <col min="2" max="2" width="14.140625" bestFit="1" customWidth="1"/>
    <col min="3" max="3" width="13.28515625" bestFit="1" customWidth="1"/>
    <col min="4" max="4" width="18.140625" customWidth="1"/>
    <col min="5" max="5" width="17.85546875" customWidth="1"/>
    <col min="6" max="6" width="15.85546875" bestFit="1" customWidth="1"/>
  </cols>
  <sheetData>
    <row r="1" spans="1:11" ht="24" x14ac:dyDescent="0.4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.75" x14ac:dyDescent="0.3">
      <c r="A2" s="13" t="s">
        <v>49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15.75" thickBot="1" x14ac:dyDescent="0.3">
      <c r="B4" s="6" t="s">
        <v>50</v>
      </c>
      <c r="C4" s="6" t="s">
        <v>25</v>
      </c>
      <c r="D4" s="6" t="s">
        <v>47</v>
      </c>
      <c r="E4" s="6" t="s">
        <v>52</v>
      </c>
      <c r="F4" s="7" t="s">
        <v>51</v>
      </c>
    </row>
    <row r="5" spans="1:11" x14ac:dyDescent="0.25">
      <c r="B5" s="8">
        <f>ROWS(tblStudents[Gender])</f>
        <v>1000</v>
      </c>
      <c r="C5" s="9">
        <f>AVERAGE(tblStudents[Average Score])</f>
        <v>67.770666666666642</v>
      </c>
      <c r="D5" s="11">
        <f>AVERAGE(tblStudents[Pass Flag])</f>
        <v>0.71499999999999997</v>
      </c>
      <c r="E5" s="8">
        <f>COUNTIF(tblStudents[Outcome],"At Risk")</f>
        <v>285</v>
      </c>
      <c r="F5" s="10">
        <f>COUNTIF(tblStudents[Performance Band],"High")</f>
        <v>198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2354-ADC0-48F6-BFC1-247BDD331789}">
  <dimension ref="A1"/>
  <sheetViews>
    <sheetView showGridLines="0" workbookViewId="0">
      <selection activeCell="L45" sqref="L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StudentsPerformance</vt:lpstr>
      <vt:lpstr>Analysis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Holbrook</dc:creator>
  <cp:lastModifiedBy>Jason Holbrook</cp:lastModifiedBy>
  <dcterms:created xsi:type="dcterms:W3CDTF">2026-06-25T18:27:15Z</dcterms:created>
  <dcterms:modified xsi:type="dcterms:W3CDTF">2026-06-26T18:10:43Z</dcterms:modified>
</cp:coreProperties>
</file>